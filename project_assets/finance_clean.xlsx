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Lucas Vila\Personal Portfolio\"/>
    </mc:Choice>
  </mc:AlternateContent>
  <xr:revisionPtr revIDLastSave="0" documentId="8_{5A9BBE07-0896-476B-AAC2-CA9B37AEA345}" xr6:coauthVersionLast="47" xr6:coauthVersionMax="47" xr10:uidLastSave="{00000000-0000-0000-0000-000000000000}"/>
  <bookViews>
    <workbookView xWindow="-120" yWindow="-120" windowWidth="20730" windowHeight="11160" activeTab="3" xr2:uid="{94DF4CE3-62EB-4873-8C0A-ABB40D9D5411}"/>
  </bookViews>
  <sheets>
    <sheet name="Clean Data" sheetId="2" r:id="rId1"/>
    <sheet name="Pivot_Categories" sheetId="3" r:id="rId2"/>
    <sheet name="Pivot_Monthly" sheetId="5" r:id="rId3"/>
    <sheet name="Dashboard" sheetId="7" r:id="rId4"/>
  </sheet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C2" i="2"/>
  <c r="C3" i="2"/>
  <c r="C4" i="2"/>
  <c r="C5" i="2"/>
  <c r="C6" i="2"/>
  <c r="C7" i="2"/>
  <c r="C8" i="2"/>
  <c r="C9" i="2"/>
  <c r="C10" i="2"/>
  <c r="C12" i="2"/>
  <c r="C11" i="2"/>
  <c r="C13" i="2"/>
  <c r="C14" i="2"/>
  <c r="C15" i="2"/>
  <c r="C16" i="2"/>
  <c r="C17" i="2"/>
  <c r="C18" i="2"/>
  <c r="C19" i="2"/>
  <c r="C20" i="2"/>
  <c r="C22" i="2"/>
  <c r="C21" i="2"/>
  <c r="C24" i="2"/>
  <c r="C23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5" i="2"/>
  <c r="C54" i="2"/>
  <c r="C56" i="2"/>
  <c r="C57" i="2"/>
  <c r="C58" i="2"/>
  <c r="C59" i="2"/>
  <c r="C60" i="2"/>
  <c r="C61" i="2"/>
  <c r="C62" i="2"/>
  <c r="C64" i="2"/>
  <c r="C63" i="2"/>
  <c r="C65" i="2"/>
  <c r="C66" i="2"/>
  <c r="C67" i="2"/>
  <c r="C68" i="2"/>
  <c r="C70" i="2"/>
  <c r="C69" i="2"/>
  <c r="C71" i="2"/>
  <c r="C72" i="2"/>
  <c r="C73" i="2"/>
  <c r="C74" i="2"/>
  <c r="C75" i="2"/>
  <c r="C77" i="2"/>
  <c r="C76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6" i="2"/>
  <c r="C105" i="2"/>
  <c r="C107" i="2"/>
  <c r="C108" i="2"/>
  <c r="C110" i="2"/>
  <c r="C109" i="2"/>
  <c r="C111" i="2"/>
  <c r="C112" i="2"/>
  <c r="C113" i="2"/>
  <c r="C116" i="2"/>
  <c r="C114" i="2"/>
  <c r="C115" i="2"/>
  <c r="C117" i="2"/>
  <c r="C118" i="2"/>
  <c r="C120" i="2"/>
  <c r="C119" i="2"/>
  <c r="C121" i="2"/>
  <c r="C122" i="2"/>
  <c r="C123" i="2"/>
  <c r="C124" i="2"/>
  <c r="C125" i="2"/>
  <c r="C126" i="2"/>
  <c r="C127" i="2"/>
  <c r="C128" i="2"/>
  <c r="C129" i="2"/>
  <c r="C131" i="2"/>
  <c r="C130" i="2"/>
  <c r="C132" i="2"/>
  <c r="C133" i="2"/>
  <c r="C135" i="2"/>
  <c r="C134" i="2"/>
  <c r="C136" i="2"/>
  <c r="C137" i="2"/>
  <c r="C138" i="2"/>
  <c r="C139" i="2"/>
  <c r="C140" i="2"/>
  <c r="C141" i="2"/>
  <c r="C143" i="2"/>
  <c r="C142" i="2"/>
  <c r="C144" i="2"/>
  <c r="C145" i="2"/>
  <c r="C147" i="2"/>
  <c r="C146" i="2"/>
  <c r="C148" i="2"/>
  <c r="C149" i="2"/>
  <c r="C150" i="2"/>
  <c r="C153" i="2"/>
  <c r="C151" i="2"/>
  <c r="C152" i="2"/>
  <c r="C154" i="2"/>
  <c r="C155" i="2"/>
  <c r="C158" i="2"/>
  <c r="C156" i="2"/>
  <c r="C157" i="2"/>
  <c r="C160" i="2"/>
  <c r="C159" i="2"/>
  <c r="C161" i="2"/>
  <c r="C163" i="2"/>
  <c r="C162" i="2"/>
  <c r="C164" i="2"/>
  <c r="C165" i="2"/>
  <c r="C166" i="2"/>
  <c r="C167" i="2"/>
  <c r="C168" i="2"/>
  <c r="C169" i="2"/>
  <c r="C170" i="2"/>
  <c r="C171" i="2"/>
  <c r="C172" i="2"/>
  <c r="C173" i="2"/>
  <c r="C175" i="2"/>
  <c r="C174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90" i="2"/>
  <c r="C188" i="2"/>
  <c r="C189" i="2"/>
  <c r="C191" i="2"/>
  <c r="C192" i="2"/>
  <c r="C193" i="2"/>
  <c r="C195" i="2"/>
  <c r="C194" i="2"/>
  <c r="C198" i="2"/>
  <c r="C196" i="2"/>
  <c r="C197" i="2"/>
  <c r="C199" i="2"/>
  <c r="C200" i="2"/>
  <c r="C201" i="2"/>
  <c r="C204" i="2"/>
  <c r="C202" i="2"/>
  <c r="C203" i="2"/>
  <c r="C205" i="2"/>
  <c r="C206" i="2"/>
  <c r="C207" i="2"/>
  <c r="C208" i="2"/>
  <c r="C209" i="2"/>
  <c r="C212" i="2"/>
  <c r="C210" i="2"/>
  <c r="C211" i="2"/>
  <c r="C213" i="2"/>
  <c r="C214" i="2"/>
  <c r="C217" i="2"/>
  <c r="C215" i="2"/>
  <c r="C216" i="2"/>
  <c r="C218" i="2"/>
  <c r="C219" i="2"/>
  <c r="C220" i="2"/>
  <c r="C221" i="2"/>
  <c r="C222" i="2"/>
  <c r="C223" i="2"/>
  <c r="C224" i="2"/>
  <c r="C225" i="2"/>
  <c r="C226" i="2"/>
  <c r="C227" i="2"/>
  <c r="C228" i="2"/>
  <c r="C231" i="2"/>
  <c r="C230" i="2"/>
  <c r="C229" i="2"/>
  <c r="C232" i="2"/>
  <c r="C233" i="2"/>
  <c r="C234" i="2"/>
  <c r="C235" i="2"/>
  <c r="C236" i="2"/>
  <c r="C237" i="2"/>
  <c r="C238" i="2"/>
  <c r="C239" i="2"/>
  <c r="C240" i="2"/>
  <c r="C241" i="2"/>
  <c r="C242" i="2"/>
  <c r="C244" i="2"/>
  <c r="C243" i="2"/>
  <c r="C245" i="2"/>
  <c r="C246" i="2"/>
  <c r="C250" i="2"/>
  <c r="C249" i="2"/>
  <c r="C247" i="2"/>
  <c r="C248" i="2"/>
  <c r="C252" i="2"/>
  <c r="C251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5" i="2"/>
  <c r="C274" i="2"/>
  <c r="C277" i="2"/>
  <c r="C276" i="2"/>
  <c r="C278" i="2"/>
  <c r="C280" i="2"/>
  <c r="C279" i="2"/>
  <c r="C282" i="2"/>
  <c r="C281" i="2"/>
  <c r="C283" i="2"/>
  <c r="C285" i="2"/>
  <c r="C284" i="2"/>
  <c r="C286" i="2"/>
  <c r="C287" i="2"/>
  <c r="C288" i="2"/>
  <c r="C289" i="2"/>
  <c r="C290" i="2"/>
  <c r="C291" i="2"/>
  <c r="C292" i="2"/>
  <c r="C294" i="2"/>
  <c r="C293" i="2"/>
  <c r="C295" i="2"/>
  <c r="C296" i="2"/>
  <c r="C297" i="2"/>
  <c r="C298" i="2"/>
  <c r="C299" i="2"/>
  <c r="C301" i="2"/>
  <c r="C300" i="2"/>
  <c r="C303" i="2"/>
  <c r="C302" i="2"/>
  <c r="C304" i="2"/>
  <c r="C305" i="2"/>
  <c r="C307" i="2"/>
  <c r="C306" i="2"/>
  <c r="C308" i="2"/>
  <c r="C309" i="2"/>
  <c r="C310" i="2"/>
  <c r="C311" i="2"/>
  <c r="C312" i="2"/>
  <c r="C314" i="2"/>
  <c r="C315" i="2"/>
  <c r="C313" i="2"/>
  <c r="C316" i="2"/>
  <c r="C317" i="2"/>
  <c r="C318" i="2"/>
  <c r="C319" i="2"/>
  <c r="C321" i="2"/>
  <c r="C320" i="2"/>
  <c r="C322" i="2"/>
  <c r="C323" i="2"/>
  <c r="C325" i="2"/>
  <c r="C324" i="2"/>
  <c r="C326" i="2"/>
  <c r="C327" i="2"/>
  <c r="C328" i="2"/>
  <c r="C329" i="2"/>
  <c r="C330" i="2"/>
  <c r="C331" i="2"/>
  <c r="C332" i="2"/>
  <c r="C333" i="2"/>
  <c r="C334" i="2"/>
  <c r="C335" i="2"/>
  <c r="C336" i="2"/>
  <c r="C338" i="2"/>
  <c r="C337" i="2"/>
  <c r="C339" i="2"/>
  <c r="C341" i="2"/>
  <c r="C340" i="2"/>
  <c r="C343" i="2"/>
  <c r="C342" i="2"/>
  <c r="C344" i="2"/>
  <c r="C345" i="2"/>
  <c r="C346" i="2"/>
  <c r="C347" i="2"/>
  <c r="C348" i="2"/>
  <c r="C349" i="2"/>
  <c r="C350" i="2"/>
  <c r="C352" i="2"/>
  <c r="C351" i="2"/>
  <c r="C353" i="2"/>
  <c r="C354" i="2"/>
  <c r="C355" i="2"/>
  <c r="C356" i="2"/>
  <c r="C357" i="2"/>
  <c r="C358" i="2"/>
  <c r="C359" i="2"/>
  <c r="C360" i="2"/>
  <c r="C361" i="2"/>
  <c r="C363" i="2"/>
  <c r="C362" i="2"/>
  <c r="C364" i="2"/>
  <c r="C365" i="2"/>
  <c r="C366" i="2"/>
  <c r="C367" i="2"/>
  <c r="C368" i="2"/>
  <c r="C369" i="2"/>
  <c r="C370" i="2"/>
  <c r="C371" i="2"/>
  <c r="C372" i="2"/>
  <c r="C375" i="2"/>
  <c r="C373" i="2"/>
  <c r="C374" i="2"/>
  <c r="C376" i="2"/>
  <c r="C377" i="2"/>
  <c r="C378" i="2"/>
  <c r="C379" i="2"/>
  <c r="C380" i="2"/>
  <c r="C381" i="2"/>
  <c r="C382" i="2"/>
  <c r="C383" i="2"/>
  <c r="C387" i="2"/>
  <c r="C384" i="2"/>
  <c r="C386" i="2"/>
  <c r="C385" i="2"/>
  <c r="C388" i="2"/>
  <c r="C390" i="2"/>
  <c r="C389" i="2"/>
  <c r="C391" i="2"/>
  <c r="C392" i="2"/>
  <c r="C393" i="2"/>
  <c r="C394" i="2"/>
  <c r="C395" i="2"/>
  <c r="C396" i="2"/>
  <c r="C397" i="2"/>
  <c r="C398" i="2"/>
  <c r="C399" i="2"/>
  <c r="C400" i="2"/>
  <c r="C402" i="2"/>
  <c r="C401" i="2"/>
  <c r="C403" i="2"/>
  <c r="C405" i="2"/>
  <c r="C404" i="2"/>
  <c r="C406" i="2"/>
  <c r="C407" i="2"/>
  <c r="C408" i="2"/>
  <c r="C409" i="2"/>
  <c r="C410" i="2"/>
  <c r="C411" i="2"/>
  <c r="C412" i="2"/>
  <c r="C413" i="2"/>
  <c r="C415" i="2"/>
  <c r="C414" i="2"/>
  <c r="C416" i="2"/>
  <c r="C418" i="2"/>
  <c r="C417" i="2"/>
  <c r="C419" i="2"/>
  <c r="C420" i="2"/>
  <c r="C421" i="2"/>
  <c r="C422" i="2"/>
  <c r="C424" i="2"/>
  <c r="C423" i="2"/>
  <c r="C426" i="2"/>
  <c r="C425" i="2"/>
  <c r="C427" i="2"/>
  <c r="C428" i="2"/>
  <c r="C430" i="2"/>
  <c r="C429" i="2"/>
  <c r="C431" i="2"/>
  <c r="C432" i="2"/>
  <c r="C433" i="2"/>
  <c r="C434" i="2"/>
  <c r="C435" i="2"/>
  <c r="C436" i="2"/>
  <c r="C438" i="2"/>
  <c r="C437" i="2"/>
  <c r="C439" i="2"/>
  <c r="C440" i="2"/>
  <c r="C441" i="2"/>
  <c r="C442" i="2"/>
  <c r="C443" i="2"/>
  <c r="C446" i="2"/>
  <c r="C444" i="2"/>
  <c r="C447" i="2"/>
  <c r="C445" i="2"/>
  <c r="C448" i="2"/>
  <c r="C449" i="2"/>
  <c r="C450" i="2"/>
  <c r="C451" i="2"/>
  <c r="C452" i="2"/>
  <c r="C453" i="2"/>
  <c r="C454" i="2"/>
  <c r="C455" i="2"/>
  <c r="C456" i="2"/>
  <c r="C457" i="2"/>
  <c r="C458" i="2"/>
  <c r="C460" i="2"/>
  <c r="C459" i="2"/>
  <c r="C461" i="2"/>
  <c r="C462" i="2"/>
  <c r="C463" i="2"/>
  <c r="C464" i="2"/>
  <c r="C465" i="2"/>
  <c r="C466" i="2"/>
  <c r="C468" i="2"/>
  <c r="C467" i="2"/>
  <c r="C469" i="2"/>
  <c r="C470" i="2"/>
  <c r="C471" i="2"/>
  <c r="C472" i="2"/>
  <c r="C473" i="2"/>
  <c r="C475" i="2"/>
  <c r="C474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6" i="2"/>
  <c r="C495" i="2"/>
  <c r="C497" i="2"/>
  <c r="C498" i="2"/>
  <c r="C502" i="2"/>
  <c r="C499" i="2"/>
  <c r="C500" i="2"/>
  <c r="C501" i="2"/>
  <c r="C503" i="2"/>
  <c r="C504" i="2"/>
  <c r="C505" i="2"/>
  <c r="C507" i="2"/>
  <c r="C506" i="2"/>
  <c r="C510" i="2"/>
  <c r="C508" i="2"/>
  <c r="C509" i="2"/>
  <c r="C511" i="2"/>
  <c r="C512" i="2"/>
  <c r="C513" i="2"/>
  <c r="C514" i="2"/>
  <c r="C515" i="2"/>
  <c r="C516" i="2"/>
  <c r="C517" i="2"/>
  <c r="C519" i="2"/>
  <c r="C518" i="2"/>
  <c r="C520" i="2"/>
  <c r="C521" i="2"/>
  <c r="C522" i="2"/>
  <c r="C523" i="2"/>
  <c r="C524" i="2"/>
  <c r="C526" i="2"/>
  <c r="C525" i="2"/>
  <c r="C528" i="2"/>
  <c r="C527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4" i="2"/>
  <c r="C545" i="2"/>
  <c r="C543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4" i="2"/>
  <c r="C573" i="2"/>
  <c r="C575" i="2"/>
  <c r="C576" i="2"/>
  <c r="C577" i="2"/>
  <c r="C578" i="2"/>
  <c r="C579" i="2"/>
  <c r="C580" i="2"/>
  <c r="C582" i="2"/>
  <c r="C581" i="2"/>
  <c r="C583" i="2"/>
  <c r="C584" i="2"/>
  <c r="C585" i="2"/>
  <c r="C587" i="2"/>
  <c r="C586" i="2"/>
  <c r="C588" i="2"/>
  <c r="C589" i="2"/>
  <c r="C590" i="2"/>
  <c r="C591" i="2"/>
  <c r="C592" i="2"/>
  <c r="C593" i="2"/>
  <c r="C594" i="2"/>
  <c r="C595" i="2"/>
  <c r="C597" i="2"/>
  <c r="C596" i="2"/>
  <c r="C598" i="2"/>
  <c r="C600" i="2"/>
  <c r="C599" i="2"/>
  <c r="C601" i="2"/>
  <c r="C604" i="2"/>
  <c r="C605" i="2"/>
  <c r="C602" i="2"/>
  <c r="C603" i="2"/>
  <c r="C606" i="2"/>
  <c r="C607" i="2"/>
  <c r="C609" i="2"/>
  <c r="C611" i="2"/>
  <c r="C610" i="2"/>
  <c r="C608" i="2"/>
  <c r="C612" i="2"/>
  <c r="C613" i="2"/>
  <c r="C614" i="2"/>
  <c r="C615" i="2"/>
  <c r="C616" i="2"/>
  <c r="C617" i="2"/>
  <c r="C618" i="2"/>
  <c r="C619" i="2"/>
  <c r="C620" i="2"/>
  <c r="C621" i="2"/>
  <c r="C623" i="2"/>
  <c r="C622" i="2"/>
  <c r="C624" i="2"/>
  <c r="C625" i="2"/>
  <c r="C627" i="2"/>
  <c r="C626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2" i="2"/>
  <c r="C641" i="2"/>
  <c r="C640" i="2"/>
  <c r="C643" i="2"/>
  <c r="C644" i="2"/>
  <c r="C645" i="2"/>
  <c r="C647" i="2"/>
  <c r="C646" i="2"/>
  <c r="C648" i="2"/>
  <c r="C650" i="2"/>
  <c r="C651" i="2"/>
  <c r="C649" i="2"/>
  <c r="C652" i="2"/>
  <c r="C654" i="2"/>
  <c r="C653" i="2"/>
  <c r="C655" i="2"/>
  <c r="C656" i="2"/>
  <c r="C657" i="2"/>
  <c r="C658" i="2"/>
  <c r="C659" i="2"/>
  <c r="C660" i="2"/>
  <c r="C661" i="2"/>
  <c r="C663" i="2"/>
  <c r="C662" i="2"/>
  <c r="C664" i="2"/>
  <c r="C666" i="2"/>
  <c r="C665" i="2"/>
  <c r="C667" i="2"/>
  <c r="C668" i="2"/>
  <c r="C669" i="2"/>
  <c r="C671" i="2"/>
  <c r="C670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6" i="2"/>
  <c r="C685" i="2"/>
  <c r="C687" i="2"/>
  <c r="C689" i="2"/>
  <c r="C688" i="2"/>
  <c r="C690" i="2"/>
  <c r="C692" i="2"/>
  <c r="C691" i="2"/>
  <c r="C693" i="2"/>
  <c r="C694" i="2"/>
  <c r="C695" i="2"/>
  <c r="C696" i="2"/>
  <c r="C698" i="2"/>
  <c r="C697" i="2"/>
  <c r="C699" i="2"/>
  <c r="C700" i="2"/>
  <c r="C701" i="2"/>
  <c r="C702" i="2"/>
  <c r="C703" i="2"/>
  <c r="C705" i="2"/>
  <c r="C704" i="2"/>
  <c r="C706" i="2"/>
  <c r="C707" i="2"/>
  <c r="C708" i="2"/>
  <c r="C710" i="2"/>
  <c r="C709" i="2"/>
  <c r="C711" i="2"/>
  <c r="C712" i="2"/>
  <c r="C713" i="2"/>
  <c r="C714" i="2"/>
  <c r="C715" i="2"/>
  <c r="C716" i="2"/>
  <c r="C718" i="2"/>
  <c r="C717" i="2"/>
  <c r="C719" i="2"/>
  <c r="C720" i="2"/>
  <c r="C721" i="2"/>
  <c r="C722" i="2"/>
  <c r="C723" i="2"/>
  <c r="C724" i="2"/>
  <c r="C726" i="2"/>
  <c r="C725" i="2"/>
  <c r="C728" i="2"/>
  <c r="C727" i="2"/>
  <c r="C729" i="2"/>
  <c r="C730" i="2"/>
  <c r="C732" i="2"/>
  <c r="C731" i="2"/>
  <c r="C733" i="2"/>
  <c r="C734" i="2"/>
  <c r="C735" i="2"/>
  <c r="C737" i="2"/>
  <c r="C738" i="2"/>
  <c r="C736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4" i="2"/>
  <c r="C752" i="2"/>
  <c r="C751" i="2"/>
  <c r="C753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9" i="2"/>
  <c r="C768" i="2"/>
  <c r="C771" i="2"/>
  <c r="C770" i="2"/>
  <c r="C772" i="2"/>
  <c r="C773" i="2"/>
  <c r="C774" i="2"/>
  <c r="C776" i="2"/>
  <c r="C775" i="2"/>
  <c r="C778" i="2"/>
  <c r="C777" i="2"/>
  <c r="C779" i="2"/>
  <c r="C780" i="2"/>
  <c r="C781" i="2"/>
  <c r="C782" i="2"/>
  <c r="C783" i="2"/>
  <c r="C784" i="2"/>
  <c r="C785" i="2"/>
  <c r="C787" i="2"/>
  <c r="C786" i="2"/>
  <c r="C788" i="2"/>
  <c r="C789" i="2"/>
  <c r="C791" i="2"/>
  <c r="C792" i="2"/>
  <c r="C790" i="2"/>
  <c r="C794" i="2"/>
  <c r="C793" i="2"/>
  <c r="C795" i="2"/>
  <c r="C796" i="2"/>
  <c r="C797" i="2"/>
  <c r="C798" i="2"/>
  <c r="C799" i="2"/>
  <c r="C801" i="2"/>
  <c r="C800" i="2"/>
  <c r="C802" i="2"/>
  <c r="C803" i="2"/>
  <c r="C804" i="2"/>
  <c r="C805" i="2"/>
  <c r="C806" i="2"/>
  <c r="C807" i="2"/>
  <c r="C809" i="2"/>
  <c r="C808" i="2"/>
  <c r="C810" i="2"/>
  <c r="C811" i="2"/>
  <c r="C813" i="2"/>
  <c r="C812" i="2"/>
  <c r="C814" i="2"/>
  <c r="C816" i="2"/>
  <c r="C815" i="2"/>
  <c r="C817" i="2"/>
  <c r="C818" i="2"/>
  <c r="C819" i="2"/>
  <c r="C820" i="2"/>
  <c r="C822" i="2"/>
  <c r="C821" i="2"/>
  <c r="C823" i="2"/>
  <c r="C824" i="2"/>
  <c r="C825" i="2"/>
  <c r="C827" i="2"/>
  <c r="C826" i="2"/>
  <c r="C828" i="2"/>
  <c r="C830" i="2"/>
  <c r="C829" i="2"/>
  <c r="C831" i="2"/>
  <c r="C832" i="2"/>
  <c r="C833" i="2"/>
  <c r="C834" i="2"/>
  <c r="C835" i="2"/>
  <c r="C836" i="2"/>
  <c r="C837" i="2"/>
  <c r="C838" i="2"/>
  <c r="C839" i="2"/>
  <c r="C840" i="2"/>
  <c r="C841" i="2"/>
  <c r="C843" i="2"/>
  <c r="C842" i="2"/>
  <c r="C844" i="2"/>
  <c r="C845" i="2"/>
  <c r="C846" i="2"/>
  <c r="C848" i="2"/>
  <c r="C847" i="2"/>
  <c r="C849" i="2"/>
  <c r="C851" i="2"/>
  <c r="C850" i="2"/>
  <c r="C852" i="2"/>
  <c r="C853" i="2"/>
  <c r="C854" i="2"/>
  <c r="C855" i="2"/>
  <c r="C856" i="2"/>
  <c r="C857" i="2"/>
  <c r="C859" i="2"/>
  <c r="C858" i="2"/>
  <c r="C860" i="2"/>
  <c r="C861" i="2"/>
  <c r="C862" i="2"/>
  <c r="C864" i="2"/>
  <c r="C863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8" i="2"/>
  <c r="C887" i="2"/>
  <c r="C891" i="2"/>
  <c r="C890" i="2"/>
  <c r="C889" i="2"/>
  <c r="C892" i="2"/>
  <c r="C893" i="2"/>
  <c r="C894" i="2"/>
  <c r="C895" i="2"/>
  <c r="C898" i="2"/>
  <c r="C896" i="2"/>
  <c r="C897" i="2"/>
  <c r="C903" i="2"/>
  <c r="C899" i="2"/>
  <c r="C902" i="2"/>
  <c r="C900" i="2"/>
  <c r="C904" i="2"/>
  <c r="C901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20" i="2"/>
  <c r="C919" i="2"/>
  <c r="C921" i="2"/>
  <c r="C922" i="2"/>
  <c r="C923" i="2"/>
  <c r="C924" i="2"/>
  <c r="C925" i="2"/>
  <c r="C926" i="2"/>
  <c r="C927" i="2"/>
  <c r="C928" i="2"/>
  <c r="C929" i="2"/>
  <c r="C930" i="2"/>
  <c r="C932" i="2"/>
  <c r="C931" i="2"/>
  <c r="C933" i="2"/>
  <c r="C936" i="2"/>
  <c r="C935" i="2"/>
  <c r="C934" i="2"/>
  <c r="C937" i="2"/>
  <c r="C938" i="2"/>
  <c r="C939" i="2"/>
  <c r="C941" i="2"/>
  <c r="C942" i="2"/>
  <c r="C940" i="2"/>
  <c r="C943" i="2"/>
  <c r="C946" i="2"/>
  <c r="C945" i="2"/>
  <c r="C944" i="2"/>
  <c r="C947" i="2"/>
  <c r="C949" i="2"/>
  <c r="C948" i="2"/>
  <c r="C950" i="2"/>
  <c r="C951" i="2"/>
  <c r="C952" i="2"/>
  <c r="C953" i="2"/>
  <c r="C955" i="2"/>
  <c r="C954" i="2"/>
  <c r="C957" i="2"/>
  <c r="C956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8" i="2"/>
  <c r="C977" i="2"/>
  <c r="C979" i="2"/>
  <c r="C980" i="2"/>
  <c r="C981" i="2"/>
  <c r="C982" i="2"/>
  <c r="C983" i="2"/>
  <c r="C984" i="2"/>
  <c r="C986" i="2"/>
  <c r="C985" i="2"/>
  <c r="C987" i="2"/>
  <c r="C988" i="2"/>
  <c r="C989" i="2"/>
  <c r="C990" i="2"/>
  <c r="C991" i="2"/>
  <c r="C992" i="2"/>
  <c r="C994" i="2"/>
  <c r="C993" i="2"/>
  <c r="C995" i="2"/>
  <c r="C996" i="2"/>
  <c r="C997" i="2"/>
  <c r="C999" i="2"/>
  <c r="C998" i="2"/>
  <c r="C1000" i="2"/>
  <c r="C1002" i="2"/>
  <c r="C1001" i="2"/>
  <c r="C1003" i="2"/>
  <c r="C1004" i="2"/>
  <c r="C1005" i="2"/>
  <c r="C1006" i="2"/>
  <c r="C1009" i="2"/>
  <c r="C1008" i="2"/>
  <c r="C1007" i="2"/>
  <c r="C1011" i="2"/>
  <c r="C1010" i="2"/>
  <c r="C1012" i="2"/>
  <c r="C1013" i="2"/>
  <c r="C1014" i="2"/>
  <c r="C1015" i="2"/>
  <c r="C1016" i="2"/>
  <c r="C1017" i="2"/>
  <c r="C1018" i="2"/>
  <c r="C1019" i="2"/>
  <c r="C1020" i="2"/>
  <c r="C1021" i="2"/>
  <c r="C1023" i="2"/>
  <c r="C1022" i="2"/>
  <c r="C1025" i="2"/>
  <c r="C1024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1" i="2"/>
  <c r="C1040" i="2"/>
  <c r="C1042" i="2"/>
  <c r="C1043" i="2"/>
  <c r="C1044" i="2"/>
  <c r="C1045" i="2"/>
  <c r="C1046" i="2"/>
  <c r="C1047" i="2"/>
  <c r="C1048" i="2"/>
  <c r="C1050" i="2"/>
  <c r="C1049" i="2"/>
  <c r="C1052" i="2"/>
  <c r="C1051" i="2"/>
  <c r="C1054" i="2"/>
  <c r="C1053" i="2"/>
  <c r="C1055" i="2"/>
  <c r="C1056" i="2"/>
  <c r="C1060" i="2"/>
  <c r="C1061" i="2"/>
  <c r="C1058" i="2"/>
  <c r="C1057" i="2"/>
  <c r="C1059" i="2"/>
  <c r="C1062" i="2"/>
  <c r="C1063" i="2"/>
  <c r="C1064" i="2"/>
  <c r="C1066" i="2"/>
  <c r="C1065" i="2"/>
  <c r="C1067" i="2"/>
  <c r="C1068" i="2"/>
  <c r="C1069" i="2"/>
  <c r="C1070" i="2"/>
  <c r="C1071" i="2"/>
  <c r="C1073" i="2"/>
  <c r="C1072" i="2"/>
  <c r="C1074" i="2"/>
  <c r="C1075" i="2"/>
  <c r="C1076" i="2"/>
  <c r="C1077" i="2"/>
  <c r="C1079" i="2"/>
  <c r="C1078" i="2"/>
  <c r="C1080" i="2"/>
  <c r="C1081" i="2"/>
  <c r="C1083" i="2"/>
  <c r="C1082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2" i="2"/>
  <c r="C1101" i="2"/>
  <c r="C1100" i="2"/>
  <c r="C1103" i="2"/>
  <c r="C1104" i="2"/>
  <c r="C1106" i="2"/>
  <c r="C1105" i="2"/>
  <c r="C1108" i="2"/>
  <c r="C1107" i="2"/>
  <c r="C1109" i="2"/>
  <c r="C1110" i="2"/>
  <c r="C1111" i="2"/>
  <c r="C1112" i="2"/>
  <c r="C1113" i="2"/>
  <c r="C1114" i="2"/>
  <c r="C1116" i="2"/>
  <c r="C1115" i="2"/>
  <c r="C1117" i="2"/>
  <c r="C1118" i="2"/>
  <c r="C1119" i="2"/>
  <c r="C1120" i="2"/>
  <c r="C1121" i="2"/>
  <c r="C1122" i="2"/>
  <c r="C1123" i="2"/>
  <c r="C1125" i="2"/>
  <c r="C1124" i="2"/>
  <c r="C1126" i="2"/>
  <c r="C1127" i="2"/>
  <c r="C1129" i="2"/>
  <c r="C1128" i="2"/>
  <c r="C1130" i="2"/>
  <c r="C1131" i="2"/>
  <c r="C1132" i="2"/>
  <c r="C1133" i="2"/>
  <c r="C1134" i="2"/>
  <c r="C1136" i="2"/>
  <c r="C1135" i="2"/>
  <c r="C1137" i="2"/>
  <c r="C1138" i="2"/>
  <c r="C1139" i="2"/>
  <c r="C1140" i="2"/>
  <c r="C1141" i="2"/>
  <c r="C1143" i="2"/>
  <c r="C1142" i="2"/>
  <c r="C1144" i="2"/>
  <c r="C1146" i="2"/>
  <c r="C1145" i="2"/>
  <c r="C1147" i="2"/>
  <c r="C1148" i="2"/>
  <c r="C1149" i="2"/>
  <c r="C1151" i="2"/>
  <c r="C1150" i="2"/>
  <c r="C1152" i="2"/>
  <c r="C1153" i="2"/>
  <c r="C1155" i="2"/>
  <c r="C1154" i="2"/>
  <c r="C1156" i="2"/>
  <c r="C1158" i="2"/>
  <c r="C1157" i="2"/>
  <c r="C1159" i="2"/>
  <c r="C1160" i="2"/>
  <c r="C1161" i="2"/>
  <c r="C1162" i="2"/>
  <c r="C1163" i="2"/>
  <c r="C1164" i="2"/>
  <c r="C1165" i="2"/>
  <c r="C1166" i="2"/>
  <c r="C1169" i="2"/>
  <c r="C1170" i="2"/>
  <c r="C1167" i="2"/>
  <c r="C1168" i="2"/>
  <c r="C1172" i="2"/>
  <c r="C1171" i="2"/>
  <c r="C1174" i="2"/>
  <c r="C1173" i="2"/>
  <c r="C1175" i="2"/>
  <c r="C1176" i="2"/>
  <c r="C1177" i="2"/>
  <c r="C1178" i="2"/>
  <c r="C1179" i="2"/>
  <c r="C1181" i="2"/>
  <c r="C1180" i="2"/>
  <c r="C1182" i="2"/>
  <c r="C1183" i="2"/>
  <c r="C1184" i="2"/>
  <c r="C1186" i="2"/>
  <c r="C1185" i="2"/>
  <c r="C1187" i="2"/>
  <c r="C1188" i="2"/>
  <c r="C1189" i="2"/>
  <c r="C1190" i="2"/>
  <c r="C1191" i="2"/>
  <c r="C1192" i="2"/>
  <c r="C1193" i="2"/>
  <c r="C1194" i="2"/>
  <c r="C1196" i="2"/>
  <c r="C1197" i="2"/>
  <c r="C1195" i="2"/>
  <c r="C1199" i="2"/>
  <c r="C1198" i="2"/>
  <c r="C1200" i="2"/>
  <c r="C1201" i="2"/>
  <c r="C1202" i="2"/>
  <c r="C1203" i="2"/>
  <c r="C1204" i="2"/>
  <c r="C1205" i="2"/>
  <c r="C1208" i="2"/>
  <c r="C1206" i="2"/>
  <c r="C1207" i="2"/>
  <c r="C1209" i="2"/>
  <c r="C1210" i="2"/>
  <c r="C1211" i="2"/>
  <c r="C1212" i="2"/>
  <c r="C1215" i="2"/>
  <c r="C1214" i="2"/>
  <c r="C1213" i="2"/>
  <c r="C1216" i="2"/>
  <c r="C1218" i="2"/>
  <c r="C1219" i="2"/>
  <c r="C1220" i="2"/>
  <c r="C1217" i="2"/>
  <c r="C1221" i="2"/>
  <c r="C1222" i="2"/>
  <c r="C1223" i="2"/>
  <c r="C1224" i="2"/>
  <c r="C1225" i="2"/>
  <c r="C1226" i="2"/>
  <c r="C1228" i="2"/>
  <c r="C1227" i="2"/>
  <c r="C1229" i="2"/>
  <c r="C1230" i="2"/>
  <c r="C1231" i="2"/>
  <c r="C1232" i="2"/>
  <c r="C1233" i="2"/>
  <c r="C1234" i="2"/>
  <c r="C1235" i="2"/>
  <c r="C1238" i="2"/>
  <c r="C1237" i="2"/>
  <c r="C1236" i="2"/>
  <c r="C1240" i="2"/>
  <c r="C1239" i="2"/>
  <c r="C1241" i="2"/>
  <c r="C1242" i="2"/>
  <c r="C1243" i="2"/>
  <c r="C1244" i="2"/>
  <c r="C1245" i="2"/>
  <c r="C1247" i="2"/>
  <c r="C1246" i="2"/>
  <c r="C1248" i="2"/>
  <c r="C1250" i="2"/>
  <c r="C1249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4" i="2"/>
  <c r="C1263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8" i="2"/>
  <c r="C1287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9" i="2"/>
  <c r="C1318" i="2"/>
  <c r="C1320" i="2"/>
  <c r="C1321" i="2"/>
  <c r="C1323" i="2"/>
  <c r="C1322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8" i="2"/>
  <c r="C1337" i="2"/>
  <c r="C1339" i="2"/>
  <c r="C1341" i="2"/>
  <c r="C1340" i="2"/>
  <c r="C1343" i="2"/>
  <c r="C1344" i="2"/>
  <c r="C1342" i="2"/>
  <c r="C1345" i="2"/>
  <c r="C1346" i="2"/>
  <c r="C1347" i="2"/>
  <c r="C1351" i="2"/>
  <c r="C1348" i="2"/>
  <c r="C1350" i="2"/>
  <c r="C1349" i="2"/>
  <c r="C1353" i="2"/>
  <c r="C1352" i="2"/>
  <c r="C1354" i="2"/>
  <c r="C1355" i="2"/>
  <c r="C1356" i="2"/>
  <c r="C1357" i="2"/>
  <c r="C1358" i="2"/>
  <c r="C1359" i="2"/>
  <c r="C1360" i="2"/>
  <c r="C1361" i="2"/>
  <c r="C1363" i="2"/>
  <c r="C1364" i="2"/>
  <c r="C1362" i="2"/>
  <c r="C1366" i="2"/>
  <c r="C1365" i="2"/>
  <c r="C1367" i="2"/>
  <c r="C1368" i="2"/>
  <c r="C1369" i="2"/>
  <c r="C1372" i="2"/>
  <c r="C1370" i="2"/>
  <c r="C1371" i="2"/>
  <c r="C1374" i="2"/>
  <c r="C1373" i="2"/>
  <c r="C1375" i="2"/>
  <c r="C1377" i="2"/>
  <c r="C1376" i="2"/>
  <c r="C1378" i="2"/>
  <c r="C1379" i="2"/>
  <c r="C1380" i="2"/>
  <c r="C1381" i="2"/>
  <c r="C1382" i="2"/>
  <c r="C1385" i="2"/>
  <c r="C1383" i="2"/>
  <c r="C1384" i="2"/>
  <c r="C1386" i="2"/>
  <c r="C1387" i="2"/>
  <c r="C1388" i="2"/>
  <c r="C1390" i="2"/>
  <c r="C1391" i="2"/>
  <c r="C1389" i="2"/>
  <c r="C1393" i="2"/>
  <c r="C1392" i="2"/>
  <c r="C1395" i="2"/>
  <c r="C1394" i="2"/>
  <c r="C1396" i="2"/>
  <c r="C1397" i="2"/>
  <c r="C1398" i="2"/>
  <c r="C1399" i="2"/>
  <c r="C1402" i="2"/>
  <c r="C1401" i="2"/>
  <c r="C1400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5" i="2"/>
  <c r="C1424" i="2"/>
  <c r="C1427" i="2"/>
  <c r="C1426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3" i="2"/>
  <c r="C1442" i="2"/>
  <c r="C1445" i="2"/>
  <c r="C1444" i="2"/>
  <c r="C1446" i="2"/>
  <c r="C1447" i="2"/>
  <c r="C1448" i="2"/>
  <c r="C1449" i="2"/>
  <c r="C1450" i="2"/>
  <c r="C1451" i="2"/>
  <c r="C1453" i="2"/>
  <c r="C1452" i="2"/>
  <c r="C1454" i="2"/>
  <c r="C1455" i="2"/>
  <c r="C1456" i="2"/>
  <c r="C1459" i="2"/>
  <c r="C1457" i="2"/>
  <c r="C1458" i="2"/>
  <c r="C1460" i="2"/>
  <c r="C1462" i="2"/>
  <c r="C1461" i="2"/>
  <c r="C1463" i="2"/>
  <c r="C1467" i="2"/>
  <c r="C1464" i="2"/>
  <c r="C1465" i="2"/>
  <c r="C1466" i="2"/>
  <c r="C1469" i="2"/>
  <c r="C1468" i="2"/>
  <c r="C1470" i="2"/>
  <c r="C1472" i="2"/>
  <c r="C1471" i="2"/>
  <c r="C1473" i="2"/>
  <c r="C1474" i="2"/>
  <c r="C1475" i="2"/>
  <c r="C1476" i="2"/>
  <c r="C1477" i="2"/>
  <c r="C1480" i="2"/>
  <c r="C1478" i="2"/>
  <c r="C1479" i="2"/>
  <c r="C1481" i="2"/>
  <c r="C1482" i="2"/>
  <c r="C1483" i="2"/>
  <c r="C1484" i="2"/>
  <c r="C1485" i="2"/>
  <c r="C1486" i="2"/>
  <c r="C1487" i="2"/>
  <c r="C1488" i="2"/>
  <c r="C1490" i="2"/>
  <c r="C1489" i="2"/>
  <c r="C1491" i="2"/>
  <c r="C1492" i="2"/>
  <c r="C1493" i="2"/>
  <c r="C1494" i="2"/>
  <c r="C1495" i="2"/>
  <c r="C1496" i="2"/>
  <c r="C1499" i="2"/>
  <c r="C1497" i="2"/>
  <c r="C1498" i="2"/>
  <c r="C1501" i="2"/>
  <c r="C1500" i="2"/>
  <c r="E2" i="2"/>
  <c r="E3" i="2"/>
  <c r="E4" i="2"/>
  <c r="E5" i="2"/>
  <c r="E6" i="2"/>
  <c r="E7" i="2"/>
  <c r="E8" i="2"/>
  <c r="E9" i="2"/>
  <c r="E10" i="2"/>
  <c r="E12" i="2"/>
  <c r="E11" i="2"/>
  <c r="E13" i="2"/>
  <c r="E14" i="2"/>
  <c r="E15" i="2"/>
  <c r="E16" i="2"/>
  <c r="E17" i="2"/>
  <c r="E18" i="2"/>
  <c r="E19" i="2"/>
  <c r="E20" i="2"/>
  <c r="E22" i="2"/>
  <c r="E21" i="2"/>
  <c r="E24" i="2"/>
  <c r="E23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5" i="2"/>
  <c r="E54" i="2"/>
  <c r="E56" i="2"/>
  <c r="E57" i="2"/>
  <c r="E58" i="2"/>
  <c r="E59" i="2"/>
  <c r="E60" i="2"/>
  <c r="E61" i="2"/>
  <c r="E62" i="2"/>
  <c r="E64" i="2"/>
  <c r="E63" i="2"/>
  <c r="E65" i="2"/>
  <c r="E66" i="2"/>
  <c r="E67" i="2"/>
  <c r="E68" i="2"/>
  <c r="E70" i="2"/>
  <c r="E69" i="2"/>
  <c r="E71" i="2"/>
  <c r="E72" i="2"/>
  <c r="E73" i="2"/>
  <c r="E74" i="2"/>
  <c r="E75" i="2"/>
  <c r="E77" i="2"/>
  <c r="E76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6" i="2"/>
  <c r="E105" i="2"/>
  <c r="E107" i="2"/>
  <c r="E108" i="2"/>
  <c r="E110" i="2"/>
  <c r="E109" i="2"/>
  <c r="E111" i="2"/>
  <c r="E112" i="2"/>
  <c r="E113" i="2"/>
  <c r="E116" i="2"/>
  <c r="E114" i="2"/>
  <c r="E115" i="2"/>
  <c r="E117" i="2"/>
  <c r="E118" i="2"/>
  <c r="E120" i="2"/>
  <c r="E119" i="2"/>
  <c r="E121" i="2"/>
  <c r="E122" i="2"/>
  <c r="E123" i="2"/>
  <c r="E124" i="2"/>
  <c r="E125" i="2"/>
  <c r="E126" i="2"/>
  <c r="E127" i="2"/>
  <c r="E128" i="2"/>
  <c r="E129" i="2"/>
  <c r="E131" i="2"/>
  <c r="E130" i="2"/>
  <c r="E132" i="2"/>
  <c r="E133" i="2"/>
  <c r="E135" i="2"/>
  <c r="E134" i="2"/>
  <c r="E136" i="2"/>
  <c r="E137" i="2"/>
  <c r="E138" i="2"/>
  <c r="E139" i="2"/>
  <c r="E140" i="2"/>
  <c r="E141" i="2"/>
  <c r="E143" i="2"/>
  <c r="E142" i="2"/>
  <c r="E144" i="2"/>
  <c r="E145" i="2"/>
  <c r="E147" i="2"/>
  <c r="E146" i="2"/>
  <c r="E148" i="2"/>
  <c r="E149" i="2"/>
  <c r="E150" i="2"/>
  <c r="E153" i="2"/>
  <c r="E151" i="2"/>
  <c r="E152" i="2"/>
  <c r="E154" i="2"/>
  <c r="E155" i="2"/>
  <c r="E158" i="2"/>
  <c r="E156" i="2"/>
  <c r="E157" i="2"/>
  <c r="E160" i="2"/>
  <c r="E159" i="2"/>
  <c r="E161" i="2"/>
  <c r="E163" i="2"/>
  <c r="E162" i="2"/>
  <c r="E164" i="2"/>
  <c r="E165" i="2"/>
  <c r="E166" i="2"/>
  <c r="E167" i="2"/>
  <c r="E168" i="2"/>
  <c r="E169" i="2"/>
  <c r="E170" i="2"/>
  <c r="E171" i="2"/>
  <c r="E172" i="2"/>
  <c r="E173" i="2"/>
  <c r="E175" i="2"/>
  <c r="E174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90" i="2"/>
  <c r="E188" i="2"/>
  <c r="E189" i="2"/>
  <c r="E191" i="2"/>
  <c r="E192" i="2"/>
  <c r="E193" i="2"/>
  <c r="E195" i="2"/>
  <c r="E194" i="2"/>
  <c r="E198" i="2"/>
  <c r="E196" i="2"/>
  <c r="E197" i="2"/>
  <c r="E199" i="2"/>
  <c r="E200" i="2"/>
  <c r="E201" i="2"/>
  <c r="E204" i="2"/>
  <c r="E202" i="2"/>
  <c r="E203" i="2"/>
  <c r="E205" i="2"/>
  <c r="E206" i="2"/>
  <c r="E207" i="2"/>
  <c r="E208" i="2"/>
  <c r="E209" i="2"/>
  <c r="E212" i="2"/>
  <c r="E210" i="2"/>
  <c r="E211" i="2"/>
  <c r="E213" i="2"/>
  <c r="E214" i="2"/>
  <c r="E217" i="2"/>
  <c r="E215" i="2"/>
  <c r="E216" i="2"/>
  <c r="E218" i="2"/>
  <c r="E219" i="2"/>
  <c r="E220" i="2"/>
  <c r="E221" i="2"/>
  <c r="E222" i="2"/>
  <c r="E223" i="2"/>
  <c r="E224" i="2"/>
  <c r="E225" i="2"/>
  <c r="E226" i="2"/>
  <c r="E227" i="2"/>
  <c r="E228" i="2"/>
  <c r="E231" i="2"/>
  <c r="E230" i="2"/>
  <c r="E229" i="2"/>
  <c r="E232" i="2"/>
  <c r="E233" i="2"/>
  <c r="E234" i="2"/>
  <c r="E235" i="2"/>
  <c r="E236" i="2"/>
  <c r="E237" i="2"/>
  <c r="E238" i="2"/>
  <c r="E239" i="2"/>
  <c r="E240" i="2"/>
  <c r="E241" i="2"/>
  <c r="E242" i="2"/>
  <c r="E244" i="2"/>
  <c r="E243" i="2"/>
  <c r="E245" i="2"/>
  <c r="E246" i="2"/>
  <c r="E250" i="2"/>
  <c r="E249" i="2"/>
  <c r="E247" i="2"/>
  <c r="E248" i="2"/>
  <c r="E252" i="2"/>
  <c r="E251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5" i="2"/>
  <c r="E274" i="2"/>
  <c r="E277" i="2"/>
  <c r="E276" i="2"/>
  <c r="E278" i="2"/>
  <c r="E280" i="2"/>
  <c r="E279" i="2"/>
  <c r="E282" i="2"/>
  <c r="E281" i="2"/>
  <c r="E283" i="2"/>
  <c r="E285" i="2"/>
  <c r="E284" i="2"/>
  <c r="E286" i="2"/>
  <c r="E287" i="2"/>
  <c r="E288" i="2"/>
  <c r="E289" i="2"/>
  <c r="E290" i="2"/>
  <c r="E291" i="2"/>
  <c r="E292" i="2"/>
  <c r="E294" i="2"/>
  <c r="E293" i="2"/>
  <c r="E295" i="2"/>
  <c r="E296" i="2"/>
  <c r="E297" i="2"/>
  <c r="E298" i="2"/>
  <c r="E299" i="2"/>
  <c r="E301" i="2"/>
  <c r="E300" i="2"/>
  <c r="E303" i="2"/>
  <c r="E302" i="2"/>
  <c r="E304" i="2"/>
  <c r="E305" i="2"/>
  <c r="E307" i="2"/>
  <c r="E306" i="2"/>
  <c r="E308" i="2"/>
  <c r="E309" i="2"/>
  <c r="E310" i="2"/>
  <c r="E311" i="2"/>
  <c r="E312" i="2"/>
  <c r="E314" i="2"/>
  <c r="E315" i="2"/>
  <c r="E313" i="2"/>
  <c r="E316" i="2"/>
  <c r="E317" i="2"/>
  <c r="E318" i="2"/>
  <c r="E319" i="2"/>
  <c r="E321" i="2"/>
  <c r="E320" i="2"/>
  <c r="E322" i="2"/>
  <c r="E323" i="2"/>
  <c r="E325" i="2"/>
  <c r="E324" i="2"/>
  <c r="E326" i="2"/>
  <c r="E327" i="2"/>
  <c r="E328" i="2"/>
  <c r="E329" i="2"/>
  <c r="E330" i="2"/>
  <c r="E331" i="2"/>
  <c r="E332" i="2"/>
  <c r="E333" i="2"/>
  <c r="E334" i="2"/>
  <c r="E335" i="2"/>
  <c r="E336" i="2"/>
  <c r="E338" i="2"/>
  <c r="E337" i="2"/>
  <c r="E339" i="2"/>
  <c r="E341" i="2"/>
  <c r="E340" i="2"/>
  <c r="E343" i="2"/>
  <c r="E342" i="2"/>
  <c r="E344" i="2"/>
  <c r="E345" i="2"/>
  <c r="E346" i="2"/>
  <c r="E347" i="2"/>
  <c r="E348" i="2"/>
  <c r="E349" i="2"/>
  <c r="E350" i="2"/>
  <c r="E352" i="2"/>
  <c r="E351" i="2"/>
  <c r="E353" i="2"/>
  <c r="E354" i="2"/>
  <c r="E355" i="2"/>
  <c r="E356" i="2"/>
  <c r="E357" i="2"/>
  <c r="E358" i="2"/>
  <c r="E359" i="2"/>
  <c r="E360" i="2"/>
  <c r="E361" i="2"/>
  <c r="E363" i="2"/>
  <c r="E362" i="2"/>
  <c r="E364" i="2"/>
  <c r="E365" i="2"/>
  <c r="E366" i="2"/>
  <c r="E367" i="2"/>
  <c r="E368" i="2"/>
  <c r="E369" i="2"/>
  <c r="E370" i="2"/>
  <c r="E371" i="2"/>
  <c r="E372" i="2"/>
  <c r="E375" i="2"/>
  <c r="E373" i="2"/>
  <c r="E374" i="2"/>
  <c r="E376" i="2"/>
  <c r="E377" i="2"/>
  <c r="E378" i="2"/>
  <c r="E379" i="2"/>
  <c r="E380" i="2"/>
  <c r="E381" i="2"/>
  <c r="E382" i="2"/>
  <c r="E383" i="2"/>
  <c r="E387" i="2"/>
  <c r="E384" i="2"/>
  <c r="E386" i="2"/>
  <c r="E385" i="2"/>
  <c r="E388" i="2"/>
  <c r="E390" i="2"/>
  <c r="E389" i="2"/>
  <c r="E391" i="2"/>
  <c r="E392" i="2"/>
  <c r="E393" i="2"/>
  <c r="E394" i="2"/>
  <c r="E395" i="2"/>
  <c r="E396" i="2"/>
  <c r="E397" i="2"/>
  <c r="E398" i="2"/>
  <c r="E399" i="2"/>
  <c r="E400" i="2"/>
  <c r="E402" i="2"/>
  <c r="E401" i="2"/>
  <c r="E403" i="2"/>
  <c r="E405" i="2"/>
  <c r="E404" i="2"/>
  <c r="E406" i="2"/>
  <c r="E407" i="2"/>
  <c r="E408" i="2"/>
  <c r="E409" i="2"/>
  <c r="E410" i="2"/>
  <c r="E411" i="2"/>
  <c r="E412" i="2"/>
  <c r="E413" i="2"/>
  <c r="E415" i="2"/>
  <c r="E414" i="2"/>
  <c r="E416" i="2"/>
  <c r="E418" i="2"/>
  <c r="E417" i="2"/>
  <c r="E419" i="2"/>
  <c r="E420" i="2"/>
  <c r="E421" i="2"/>
  <c r="E422" i="2"/>
  <c r="E424" i="2"/>
  <c r="E423" i="2"/>
  <c r="E426" i="2"/>
  <c r="E425" i="2"/>
  <c r="E427" i="2"/>
  <c r="E428" i="2"/>
  <c r="E430" i="2"/>
  <c r="E429" i="2"/>
  <c r="E431" i="2"/>
  <c r="E432" i="2"/>
  <c r="E433" i="2"/>
  <c r="E434" i="2"/>
  <c r="E435" i="2"/>
  <c r="E436" i="2"/>
  <c r="E438" i="2"/>
  <c r="E437" i="2"/>
  <c r="E439" i="2"/>
  <c r="E440" i="2"/>
  <c r="E441" i="2"/>
  <c r="E442" i="2"/>
  <c r="E443" i="2"/>
  <c r="E446" i="2"/>
  <c r="E444" i="2"/>
  <c r="E447" i="2"/>
  <c r="E445" i="2"/>
  <c r="E448" i="2"/>
  <c r="E449" i="2"/>
  <c r="E450" i="2"/>
  <c r="E451" i="2"/>
  <c r="E452" i="2"/>
  <c r="E453" i="2"/>
  <c r="E454" i="2"/>
  <c r="E455" i="2"/>
  <c r="E456" i="2"/>
  <c r="E457" i="2"/>
  <c r="E458" i="2"/>
  <c r="E460" i="2"/>
  <c r="E459" i="2"/>
  <c r="E461" i="2"/>
  <c r="E462" i="2"/>
  <c r="E463" i="2"/>
  <c r="E464" i="2"/>
  <c r="E465" i="2"/>
  <c r="E466" i="2"/>
  <c r="E468" i="2"/>
  <c r="E467" i="2"/>
  <c r="E469" i="2"/>
  <c r="E470" i="2"/>
  <c r="E471" i="2"/>
  <c r="E472" i="2"/>
  <c r="E473" i="2"/>
  <c r="E475" i="2"/>
  <c r="E474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6" i="2"/>
  <c r="E495" i="2"/>
  <c r="E497" i="2"/>
  <c r="E498" i="2"/>
  <c r="E502" i="2"/>
  <c r="E499" i="2"/>
  <c r="E500" i="2"/>
  <c r="E501" i="2"/>
  <c r="E503" i="2"/>
  <c r="E504" i="2"/>
  <c r="E505" i="2"/>
  <c r="E507" i="2"/>
  <c r="E506" i="2"/>
  <c r="E510" i="2"/>
  <c r="E508" i="2"/>
  <c r="E509" i="2"/>
  <c r="E511" i="2"/>
  <c r="E512" i="2"/>
  <c r="E513" i="2"/>
  <c r="E514" i="2"/>
  <c r="E515" i="2"/>
  <c r="E516" i="2"/>
  <c r="E517" i="2"/>
  <c r="E519" i="2"/>
  <c r="E518" i="2"/>
  <c r="E520" i="2"/>
  <c r="E521" i="2"/>
  <c r="E522" i="2"/>
  <c r="E523" i="2"/>
  <c r="E524" i="2"/>
  <c r="E526" i="2"/>
  <c r="E525" i="2"/>
  <c r="E528" i="2"/>
  <c r="E527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4" i="2"/>
  <c r="E545" i="2"/>
  <c r="E543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4" i="2"/>
  <c r="E573" i="2"/>
  <c r="E575" i="2"/>
  <c r="E576" i="2"/>
  <c r="E577" i="2"/>
  <c r="E578" i="2"/>
  <c r="E579" i="2"/>
  <c r="E580" i="2"/>
  <c r="E582" i="2"/>
  <c r="E581" i="2"/>
  <c r="E583" i="2"/>
  <c r="E584" i="2"/>
  <c r="E585" i="2"/>
  <c r="E587" i="2"/>
  <c r="E586" i="2"/>
  <c r="E588" i="2"/>
  <c r="E589" i="2"/>
  <c r="E590" i="2"/>
  <c r="E591" i="2"/>
  <c r="E592" i="2"/>
  <c r="E593" i="2"/>
  <c r="E594" i="2"/>
  <c r="E595" i="2"/>
  <c r="E597" i="2"/>
  <c r="E596" i="2"/>
  <c r="E598" i="2"/>
  <c r="E600" i="2"/>
  <c r="E599" i="2"/>
  <c r="E601" i="2"/>
  <c r="E604" i="2"/>
  <c r="E605" i="2"/>
  <c r="E602" i="2"/>
  <c r="E603" i="2"/>
  <c r="E606" i="2"/>
  <c r="E607" i="2"/>
  <c r="E609" i="2"/>
  <c r="E611" i="2"/>
  <c r="E610" i="2"/>
  <c r="E608" i="2"/>
  <c r="E612" i="2"/>
  <c r="E613" i="2"/>
  <c r="E614" i="2"/>
  <c r="E615" i="2"/>
  <c r="E616" i="2"/>
  <c r="E617" i="2"/>
  <c r="E618" i="2"/>
  <c r="E619" i="2"/>
  <c r="E620" i="2"/>
  <c r="E621" i="2"/>
  <c r="E623" i="2"/>
  <c r="E622" i="2"/>
  <c r="E624" i="2"/>
  <c r="E625" i="2"/>
  <c r="E627" i="2"/>
  <c r="E626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2" i="2"/>
  <c r="E641" i="2"/>
  <c r="E640" i="2"/>
  <c r="E643" i="2"/>
  <c r="E644" i="2"/>
  <c r="E645" i="2"/>
  <c r="E647" i="2"/>
  <c r="E646" i="2"/>
  <c r="E648" i="2"/>
  <c r="E650" i="2"/>
  <c r="E651" i="2"/>
  <c r="E649" i="2"/>
  <c r="E652" i="2"/>
  <c r="E654" i="2"/>
  <c r="E653" i="2"/>
  <c r="E655" i="2"/>
  <c r="E656" i="2"/>
  <c r="E657" i="2"/>
  <c r="E658" i="2"/>
  <c r="E659" i="2"/>
  <c r="E660" i="2"/>
  <c r="E661" i="2"/>
  <c r="E663" i="2"/>
  <c r="E662" i="2"/>
  <c r="E664" i="2"/>
  <c r="E666" i="2"/>
  <c r="E665" i="2"/>
  <c r="E667" i="2"/>
  <c r="E668" i="2"/>
  <c r="E669" i="2"/>
  <c r="E671" i="2"/>
  <c r="E670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6" i="2"/>
  <c r="E685" i="2"/>
  <c r="E687" i="2"/>
  <c r="E689" i="2"/>
  <c r="E688" i="2"/>
  <c r="E690" i="2"/>
  <c r="E692" i="2"/>
  <c r="E691" i="2"/>
  <c r="E693" i="2"/>
  <c r="E694" i="2"/>
  <c r="E695" i="2"/>
  <c r="E696" i="2"/>
  <c r="E698" i="2"/>
  <c r="E697" i="2"/>
  <c r="E699" i="2"/>
  <c r="E700" i="2"/>
  <c r="E701" i="2"/>
  <c r="E702" i="2"/>
  <c r="E703" i="2"/>
  <c r="E705" i="2"/>
  <c r="E704" i="2"/>
  <c r="E706" i="2"/>
  <c r="E707" i="2"/>
  <c r="E708" i="2"/>
  <c r="E710" i="2"/>
  <c r="E709" i="2"/>
  <c r="E711" i="2"/>
  <c r="E712" i="2"/>
  <c r="E713" i="2"/>
  <c r="E714" i="2"/>
  <c r="E715" i="2"/>
  <c r="E716" i="2"/>
  <c r="E718" i="2"/>
  <c r="E717" i="2"/>
  <c r="E719" i="2"/>
  <c r="E720" i="2"/>
  <c r="E721" i="2"/>
  <c r="E722" i="2"/>
  <c r="E723" i="2"/>
  <c r="E724" i="2"/>
  <c r="E726" i="2"/>
  <c r="E725" i="2"/>
  <c r="E728" i="2"/>
  <c r="E727" i="2"/>
  <c r="E729" i="2"/>
  <c r="E730" i="2"/>
  <c r="E732" i="2"/>
  <c r="E731" i="2"/>
  <c r="E733" i="2"/>
  <c r="E734" i="2"/>
  <c r="E735" i="2"/>
  <c r="E737" i="2"/>
  <c r="E738" i="2"/>
  <c r="E736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4" i="2"/>
  <c r="E752" i="2"/>
  <c r="E751" i="2"/>
  <c r="E753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9" i="2"/>
  <c r="E768" i="2"/>
  <c r="E771" i="2"/>
  <c r="E770" i="2"/>
  <c r="E772" i="2"/>
  <c r="E773" i="2"/>
  <c r="E774" i="2"/>
  <c r="E776" i="2"/>
  <c r="E775" i="2"/>
  <c r="E778" i="2"/>
  <c r="E777" i="2"/>
  <c r="E779" i="2"/>
  <c r="E780" i="2"/>
  <c r="E781" i="2"/>
  <c r="E782" i="2"/>
  <c r="E783" i="2"/>
  <c r="E784" i="2"/>
  <c r="E785" i="2"/>
  <c r="E787" i="2"/>
  <c r="E786" i="2"/>
  <c r="E788" i="2"/>
  <c r="E789" i="2"/>
  <c r="E791" i="2"/>
  <c r="E792" i="2"/>
  <c r="E790" i="2"/>
  <c r="E794" i="2"/>
  <c r="E793" i="2"/>
  <c r="E795" i="2"/>
  <c r="E796" i="2"/>
  <c r="E797" i="2"/>
  <c r="E798" i="2"/>
  <c r="E799" i="2"/>
  <c r="E801" i="2"/>
  <c r="E800" i="2"/>
  <c r="E802" i="2"/>
  <c r="E803" i="2"/>
  <c r="E804" i="2"/>
  <c r="E805" i="2"/>
  <c r="E806" i="2"/>
  <c r="E807" i="2"/>
  <c r="E809" i="2"/>
  <c r="E808" i="2"/>
  <c r="E810" i="2"/>
  <c r="E811" i="2"/>
  <c r="E813" i="2"/>
  <c r="E812" i="2"/>
  <c r="E814" i="2"/>
  <c r="E816" i="2"/>
  <c r="E815" i="2"/>
  <c r="E817" i="2"/>
  <c r="E818" i="2"/>
  <c r="E819" i="2"/>
  <c r="E820" i="2"/>
  <c r="E822" i="2"/>
  <c r="E821" i="2"/>
  <c r="E823" i="2"/>
  <c r="E824" i="2"/>
  <c r="E825" i="2"/>
  <c r="E827" i="2"/>
  <c r="E826" i="2"/>
  <c r="E828" i="2"/>
  <c r="E830" i="2"/>
  <c r="E829" i="2"/>
  <c r="E831" i="2"/>
  <c r="E832" i="2"/>
  <c r="E833" i="2"/>
  <c r="E834" i="2"/>
  <c r="E835" i="2"/>
  <c r="E836" i="2"/>
  <c r="E837" i="2"/>
  <c r="E838" i="2"/>
  <c r="E839" i="2"/>
  <c r="E840" i="2"/>
  <c r="E841" i="2"/>
  <c r="E843" i="2"/>
  <c r="E842" i="2"/>
  <c r="E844" i="2"/>
  <c r="E845" i="2"/>
  <c r="E846" i="2"/>
  <c r="E848" i="2"/>
  <c r="E847" i="2"/>
  <c r="E849" i="2"/>
  <c r="E851" i="2"/>
  <c r="E850" i="2"/>
  <c r="E852" i="2"/>
  <c r="E853" i="2"/>
  <c r="E854" i="2"/>
  <c r="E855" i="2"/>
  <c r="E856" i="2"/>
  <c r="E857" i="2"/>
  <c r="E859" i="2"/>
  <c r="E858" i="2"/>
  <c r="E860" i="2"/>
  <c r="E861" i="2"/>
  <c r="E862" i="2"/>
  <c r="E864" i="2"/>
  <c r="E863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8" i="2"/>
  <c r="E887" i="2"/>
  <c r="E891" i="2"/>
  <c r="E890" i="2"/>
  <c r="E889" i="2"/>
  <c r="E892" i="2"/>
  <c r="E893" i="2"/>
  <c r="E894" i="2"/>
  <c r="E895" i="2"/>
  <c r="E898" i="2"/>
  <c r="E896" i="2"/>
  <c r="E897" i="2"/>
  <c r="E903" i="2"/>
  <c r="E899" i="2"/>
  <c r="E902" i="2"/>
  <c r="E900" i="2"/>
  <c r="E904" i="2"/>
  <c r="E901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20" i="2"/>
  <c r="E919" i="2"/>
  <c r="E921" i="2"/>
  <c r="E922" i="2"/>
  <c r="E923" i="2"/>
  <c r="E924" i="2"/>
  <c r="E925" i="2"/>
  <c r="E926" i="2"/>
  <c r="E927" i="2"/>
  <c r="E928" i="2"/>
  <c r="E929" i="2"/>
  <c r="E930" i="2"/>
  <c r="E932" i="2"/>
  <c r="E931" i="2"/>
  <c r="E933" i="2"/>
  <c r="E936" i="2"/>
  <c r="E935" i="2"/>
  <c r="E934" i="2"/>
  <c r="E937" i="2"/>
  <c r="E938" i="2"/>
  <c r="E939" i="2"/>
  <c r="E941" i="2"/>
  <c r="E942" i="2"/>
  <c r="E940" i="2"/>
  <c r="E943" i="2"/>
  <c r="E946" i="2"/>
  <c r="E945" i="2"/>
  <c r="E944" i="2"/>
  <c r="E947" i="2"/>
  <c r="E949" i="2"/>
  <c r="E948" i="2"/>
  <c r="E950" i="2"/>
  <c r="E951" i="2"/>
  <c r="E952" i="2"/>
  <c r="E953" i="2"/>
  <c r="E955" i="2"/>
  <c r="E954" i="2"/>
  <c r="E957" i="2"/>
  <c r="E956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8" i="2"/>
  <c r="E977" i="2"/>
  <c r="E979" i="2"/>
  <c r="E980" i="2"/>
  <c r="E981" i="2"/>
  <c r="E982" i="2"/>
  <c r="E983" i="2"/>
  <c r="E984" i="2"/>
  <c r="E986" i="2"/>
  <c r="E985" i="2"/>
  <c r="E987" i="2"/>
  <c r="E988" i="2"/>
  <c r="E989" i="2"/>
  <c r="E990" i="2"/>
  <c r="E991" i="2"/>
  <c r="E992" i="2"/>
  <c r="E994" i="2"/>
  <c r="E993" i="2"/>
  <c r="E995" i="2"/>
  <c r="E996" i="2"/>
  <c r="E997" i="2"/>
  <c r="E999" i="2"/>
  <c r="E998" i="2"/>
  <c r="E1000" i="2"/>
  <c r="E1002" i="2"/>
  <c r="E1001" i="2"/>
  <c r="E1003" i="2"/>
  <c r="E1004" i="2"/>
  <c r="E1005" i="2"/>
  <c r="E1006" i="2"/>
  <c r="E1009" i="2"/>
  <c r="E1008" i="2"/>
  <c r="E1007" i="2"/>
  <c r="E1011" i="2"/>
  <c r="E1010" i="2"/>
  <c r="E1012" i="2"/>
  <c r="E1013" i="2"/>
  <c r="E1014" i="2"/>
  <c r="E1015" i="2"/>
  <c r="E1016" i="2"/>
  <c r="E1017" i="2"/>
  <c r="E1018" i="2"/>
  <c r="E1019" i="2"/>
  <c r="E1020" i="2"/>
  <c r="E1021" i="2"/>
  <c r="E1023" i="2"/>
  <c r="E1022" i="2"/>
  <c r="E1025" i="2"/>
  <c r="E1024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1" i="2"/>
  <c r="E1040" i="2"/>
  <c r="E1042" i="2"/>
  <c r="E1043" i="2"/>
  <c r="E1044" i="2"/>
  <c r="E1045" i="2"/>
  <c r="E1046" i="2"/>
  <c r="E1047" i="2"/>
  <c r="E1048" i="2"/>
  <c r="E1050" i="2"/>
  <c r="E1049" i="2"/>
  <c r="E1052" i="2"/>
  <c r="E1051" i="2"/>
  <c r="E1054" i="2"/>
  <c r="E1053" i="2"/>
  <c r="E1055" i="2"/>
  <c r="E1056" i="2"/>
  <c r="E1060" i="2"/>
  <c r="E1061" i="2"/>
  <c r="E1058" i="2"/>
  <c r="E1057" i="2"/>
  <c r="E1059" i="2"/>
  <c r="E1062" i="2"/>
  <c r="E1063" i="2"/>
  <c r="E1064" i="2"/>
  <c r="E1066" i="2"/>
  <c r="E1065" i="2"/>
  <c r="E1067" i="2"/>
  <c r="E1068" i="2"/>
  <c r="E1069" i="2"/>
  <c r="E1070" i="2"/>
  <c r="E1071" i="2"/>
  <c r="E1073" i="2"/>
  <c r="E1072" i="2"/>
  <c r="E1074" i="2"/>
  <c r="E1075" i="2"/>
  <c r="E1076" i="2"/>
  <c r="E1077" i="2"/>
  <c r="E1079" i="2"/>
  <c r="E1078" i="2"/>
  <c r="E1080" i="2"/>
  <c r="E1081" i="2"/>
  <c r="E1083" i="2"/>
  <c r="E1082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2" i="2"/>
  <c r="E1101" i="2"/>
  <c r="E1100" i="2"/>
  <c r="E1103" i="2"/>
  <c r="E1104" i="2"/>
  <c r="E1106" i="2"/>
  <c r="E1105" i="2"/>
  <c r="E1108" i="2"/>
  <c r="E1107" i="2"/>
  <c r="E1109" i="2"/>
  <c r="E1110" i="2"/>
  <c r="E1111" i="2"/>
  <c r="E1112" i="2"/>
  <c r="E1113" i="2"/>
  <c r="E1114" i="2"/>
  <c r="E1116" i="2"/>
  <c r="E1115" i="2"/>
  <c r="E1117" i="2"/>
  <c r="E1118" i="2"/>
  <c r="E1119" i="2"/>
  <c r="E1120" i="2"/>
  <c r="E1121" i="2"/>
  <c r="E1122" i="2"/>
  <c r="E1123" i="2"/>
  <c r="E1125" i="2"/>
  <c r="E1124" i="2"/>
  <c r="E1126" i="2"/>
  <c r="E1127" i="2"/>
  <c r="E1129" i="2"/>
  <c r="E1128" i="2"/>
  <c r="E1130" i="2"/>
  <c r="E1131" i="2"/>
  <c r="E1132" i="2"/>
  <c r="E1133" i="2"/>
  <c r="E1134" i="2"/>
  <c r="E1136" i="2"/>
  <c r="E1135" i="2"/>
  <c r="E1137" i="2"/>
  <c r="E1138" i="2"/>
  <c r="E1139" i="2"/>
  <c r="E1140" i="2"/>
  <c r="E1141" i="2"/>
  <c r="E1143" i="2"/>
  <c r="E1142" i="2"/>
  <c r="E1144" i="2"/>
  <c r="E1146" i="2"/>
  <c r="E1145" i="2"/>
  <c r="E1147" i="2"/>
  <c r="E1148" i="2"/>
  <c r="E1149" i="2"/>
  <c r="E1151" i="2"/>
  <c r="E1150" i="2"/>
  <c r="E1152" i="2"/>
  <c r="E1153" i="2"/>
  <c r="E1155" i="2"/>
  <c r="E1154" i="2"/>
  <c r="E1156" i="2"/>
  <c r="E1158" i="2"/>
  <c r="E1157" i="2"/>
  <c r="E1159" i="2"/>
  <c r="E1160" i="2"/>
  <c r="E1161" i="2"/>
  <c r="E1162" i="2"/>
  <c r="E1163" i="2"/>
  <c r="E1164" i="2"/>
  <c r="E1165" i="2"/>
  <c r="E1166" i="2"/>
  <c r="E1169" i="2"/>
  <c r="E1170" i="2"/>
  <c r="E1167" i="2"/>
  <c r="E1168" i="2"/>
  <c r="E1172" i="2"/>
  <c r="E1171" i="2"/>
  <c r="E1174" i="2"/>
  <c r="E1173" i="2"/>
  <c r="E1175" i="2"/>
  <c r="E1176" i="2"/>
  <c r="E1177" i="2"/>
  <c r="E1178" i="2"/>
  <c r="E1179" i="2"/>
  <c r="E1181" i="2"/>
  <c r="E1180" i="2"/>
  <c r="E1182" i="2"/>
  <c r="E1183" i="2"/>
  <c r="E1184" i="2"/>
  <c r="E1186" i="2"/>
  <c r="E1185" i="2"/>
  <c r="E1187" i="2"/>
  <c r="E1188" i="2"/>
  <c r="E1189" i="2"/>
  <c r="E1190" i="2"/>
  <c r="E1191" i="2"/>
  <c r="E1192" i="2"/>
  <c r="E1193" i="2"/>
  <c r="E1194" i="2"/>
  <c r="E1196" i="2"/>
  <c r="E1197" i="2"/>
  <c r="E1195" i="2"/>
  <c r="E1199" i="2"/>
  <c r="E1198" i="2"/>
  <c r="E1200" i="2"/>
  <c r="E1201" i="2"/>
  <c r="E1202" i="2"/>
  <c r="E1203" i="2"/>
  <c r="E1204" i="2"/>
  <c r="E1205" i="2"/>
  <c r="E1208" i="2"/>
  <c r="E1206" i="2"/>
  <c r="E1207" i="2"/>
  <c r="E1209" i="2"/>
  <c r="E1210" i="2"/>
  <c r="E1211" i="2"/>
  <c r="E1212" i="2"/>
  <c r="E1215" i="2"/>
  <c r="E1214" i="2"/>
  <c r="E1213" i="2"/>
  <c r="E1216" i="2"/>
  <c r="E1218" i="2"/>
  <c r="E1219" i="2"/>
  <c r="E1220" i="2"/>
  <c r="E1217" i="2"/>
  <c r="E1221" i="2"/>
  <c r="E1222" i="2"/>
  <c r="E1223" i="2"/>
  <c r="E1224" i="2"/>
  <c r="E1225" i="2"/>
  <c r="E1226" i="2"/>
  <c r="E1228" i="2"/>
  <c r="E1227" i="2"/>
  <c r="E1229" i="2"/>
  <c r="E1230" i="2"/>
  <c r="E1231" i="2"/>
  <c r="E1232" i="2"/>
  <c r="E1233" i="2"/>
  <c r="E1234" i="2"/>
  <c r="E1235" i="2"/>
  <c r="E1238" i="2"/>
  <c r="E1237" i="2"/>
  <c r="E1236" i="2"/>
  <c r="E1240" i="2"/>
  <c r="E1239" i="2"/>
  <c r="E1241" i="2"/>
  <c r="E1242" i="2"/>
  <c r="E1243" i="2"/>
  <c r="E1244" i="2"/>
  <c r="E1245" i="2"/>
  <c r="E1247" i="2"/>
  <c r="E1246" i="2"/>
  <c r="E1248" i="2"/>
  <c r="E1250" i="2"/>
  <c r="E1249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4" i="2"/>
  <c r="E1263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8" i="2"/>
  <c r="E1287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9" i="2"/>
  <c r="E1318" i="2"/>
  <c r="E1320" i="2"/>
  <c r="E1321" i="2"/>
  <c r="E1323" i="2"/>
  <c r="E1322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8" i="2"/>
  <c r="E1337" i="2"/>
  <c r="E1339" i="2"/>
  <c r="E1341" i="2"/>
  <c r="E1340" i="2"/>
  <c r="E1343" i="2"/>
  <c r="E1344" i="2"/>
  <c r="E1342" i="2"/>
  <c r="E1345" i="2"/>
  <c r="E1346" i="2"/>
  <c r="E1347" i="2"/>
  <c r="E1351" i="2"/>
  <c r="E1348" i="2"/>
  <c r="E1350" i="2"/>
  <c r="E1349" i="2"/>
  <c r="E1353" i="2"/>
  <c r="E1352" i="2"/>
  <c r="E1354" i="2"/>
  <c r="E1355" i="2"/>
  <c r="E1356" i="2"/>
  <c r="E1357" i="2"/>
  <c r="E1358" i="2"/>
  <c r="E1359" i="2"/>
  <c r="E1360" i="2"/>
  <c r="E1361" i="2"/>
  <c r="E1363" i="2"/>
  <c r="E1364" i="2"/>
  <c r="E1362" i="2"/>
  <c r="E1366" i="2"/>
  <c r="E1365" i="2"/>
  <c r="E1367" i="2"/>
  <c r="E1368" i="2"/>
  <c r="E1369" i="2"/>
  <c r="E1372" i="2"/>
  <c r="E1370" i="2"/>
  <c r="E1371" i="2"/>
  <c r="E1374" i="2"/>
  <c r="E1373" i="2"/>
  <c r="E1375" i="2"/>
  <c r="E1377" i="2"/>
  <c r="E1376" i="2"/>
  <c r="E1378" i="2"/>
  <c r="E1379" i="2"/>
  <c r="E1380" i="2"/>
  <c r="E1381" i="2"/>
  <c r="E1382" i="2"/>
  <c r="E1385" i="2"/>
  <c r="E1383" i="2"/>
  <c r="E1384" i="2"/>
  <c r="E1386" i="2"/>
  <c r="E1387" i="2"/>
  <c r="E1388" i="2"/>
  <c r="E1390" i="2"/>
  <c r="E1391" i="2"/>
  <c r="E1389" i="2"/>
  <c r="E1393" i="2"/>
  <c r="E1392" i="2"/>
  <c r="E1395" i="2"/>
  <c r="E1394" i="2"/>
  <c r="E1396" i="2"/>
  <c r="E1397" i="2"/>
  <c r="E1398" i="2"/>
  <c r="E1399" i="2"/>
  <c r="E1402" i="2"/>
  <c r="E1401" i="2"/>
  <c r="E1400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5" i="2"/>
  <c r="E1424" i="2"/>
  <c r="E1427" i="2"/>
  <c r="E1426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3" i="2"/>
  <c r="E1442" i="2"/>
  <c r="E1445" i="2"/>
  <c r="E1444" i="2"/>
  <c r="E1446" i="2"/>
  <c r="E1447" i="2"/>
  <c r="E1448" i="2"/>
  <c r="E1449" i="2"/>
  <c r="E1450" i="2"/>
  <c r="E1451" i="2"/>
  <c r="E1453" i="2"/>
  <c r="E1452" i="2"/>
  <c r="E1454" i="2"/>
  <c r="E1455" i="2"/>
  <c r="E1456" i="2"/>
  <c r="E1459" i="2"/>
  <c r="E1457" i="2"/>
  <c r="E1458" i="2"/>
  <c r="E1460" i="2"/>
  <c r="E1462" i="2"/>
  <c r="E1461" i="2"/>
  <c r="E1463" i="2"/>
  <c r="E1467" i="2"/>
  <c r="E1464" i="2"/>
  <c r="E1465" i="2"/>
  <c r="E1466" i="2"/>
  <c r="E1469" i="2"/>
  <c r="E1468" i="2"/>
  <c r="E1470" i="2"/>
  <c r="E1472" i="2"/>
  <c r="E1471" i="2"/>
  <c r="E1473" i="2"/>
  <c r="E1474" i="2"/>
  <c r="E1475" i="2"/>
  <c r="E1476" i="2"/>
  <c r="E1477" i="2"/>
  <c r="E1480" i="2"/>
  <c r="E1478" i="2"/>
  <c r="E1479" i="2"/>
  <c r="E1481" i="2"/>
  <c r="E1482" i="2"/>
  <c r="E1483" i="2"/>
  <c r="E1484" i="2"/>
  <c r="E1485" i="2"/>
  <c r="E1486" i="2"/>
  <c r="E1487" i="2"/>
  <c r="E1488" i="2"/>
  <c r="E1490" i="2"/>
  <c r="E1489" i="2"/>
  <c r="E1491" i="2"/>
  <c r="E1492" i="2"/>
  <c r="E1493" i="2"/>
  <c r="E1494" i="2"/>
  <c r="E1495" i="2"/>
  <c r="E1496" i="2"/>
  <c r="E1499" i="2"/>
  <c r="E1497" i="2"/>
  <c r="E1498" i="2"/>
  <c r="E1501" i="2"/>
  <c r="E1500" i="2"/>
</calcChain>
</file>

<file path=xl/sharedStrings.xml><?xml version="1.0" encoding="utf-8"?>
<sst xmlns="http://schemas.openxmlformats.org/spreadsheetml/2006/main" count="6040" uniqueCount="3024">
  <si>
    <t>Date</t>
  </si>
  <si>
    <t>Transaction Description</t>
  </si>
  <si>
    <t>Category</t>
  </si>
  <si>
    <t>Amount</t>
  </si>
  <si>
    <t>Type</t>
  </si>
  <si>
    <t>Score each.</t>
  </si>
  <si>
    <t>Food &amp; Drink</t>
  </si>
  <si>
    <t>1485.69</t>
  </si>
  <si>
    <t>Expense</t>
  </si>
  <si>
    <t>Quality throughout.</t>
  </si>
  <si>
    <t>Utilities</t>
  </si>
  <si>
    <t>1475.58</t>
  </si>
  <si>
    <t>Instead ahead despite measure ago.</t>
  </si>
  <si>
    <t>Rent</t>
  </si>
  <si>
    <t>1185.08</t>
  </si>
  <si>
    <t>Information last everything thank serve.</t>
  </si>
  <si>
    <t>Investment</t>
  </si>
  <si>
    <t>2291.0</t>
  </si>
  <si>
    <t>Income</t>
  </si>
  <si>
    <t>Future choice whatever from.</t>
  </si>
  <si>
    <t>1126.88</t>
  </si>
  <si>
    <t>Benefit suggest page southern.</t>
  </si>
  <si>
    <t>Shopping</t>
  </si>
  <si>
    <t>448.68</t>
  </si>
  <si>
    <t>By two bad fall pick.</t>
  </si>
  <si>
    <t>1520.03</t>
  </si>
  <si>
    <t>Court attorney product significant world.</t>
  </si>
  <si>
    <t>Other</t>
  </si>
  <si>
    <t>3287.0</t>
  </si>
  <si>
    <t>Herself law.</t>
  </si>
  <si>
    <t>Entertainment</t>
  </si>
  <si>
    <t>1914.85</t>
  </si>
  <si>
    <t>Have decide environment.</t>
  </si>
  <si>
    <t>766.06</t>
  </si>
  <si>
    <t>Play move each left establish.</t>
  </si>
  <si>
    <t>Health &amp; Fitness</t>
  </si>
  <si>
    <t>1211.41</t>
  </si>
  <si>
    <t>Range successful simply.</t>
  </si>
  <si>
    <t>Salary</t>
  </si>
  <si>
    <t>1077.09</t>
  </si>
  <si>
    <t>Source husband.</t>
  </si>
  <si>
    <t>166.81</t>
  </si>
  <si>
    <t>Tree note responsibility.</t>
  </si>
  <si>
    <t>1158.93</t>
  </si>
  <si>
    <t>How trip learn enter.</t>
  </si>
  <si>
    <t>1325.91</t>
  </si>
  <si>
    <t>Much section investment on gun.</t>
  </si>
  <si>
    <t>1712.08</t>
  </si>
  <si>
    <t>Management sense technology check civil.</t>
  </si>
  <si>
    <t>563.17</t>
  </si>
  <si>
    <t>As high you more wife.</t>
  </si>
  <si>
    <t>333.68</t>
  </si>
  <si>
    <t>Race mr.</t>
  </si>
  <si>
    <t>Travel</t>
  </si>
  <si>
    <t>1406.62</t>
  </si>
  <si>
    <t>Born itself law west.</t>
  </si>
  <si>
    <t>1222.17</t>
  </si>
  <si>
    <t>Seven medical blood personal.</t>
  </si>
  <si>
    <t>1838.0</t>
  </si>
  <si>
    <t>Current hear claim well two.</t>
  </si>
  <si>
    <t>1979.15</t>
  </si>
  <si>
    <t>Food affect upon these story.</t>
  </si>
  <si>
    <t>1372.38</t>
  </si>
  <si>
    <t>Around there water.</t>
  </si>
  <si>
    <t>465.81</t>
  </si>
  <si>
    <t>Staff within mouth call.</t>
  </si>
  <si>
    <t>3786.0</t>
  </si>
  <si>
    <t>Close month parent who up.</t>
  </si>
  <si>
    <t>1827.14</t>
  </si>
  <si>
    <t>Human public health.</t>
  </si>
  <si>
    <t>433.13</t>
  </si>
  <si>
    <t>Building different full open.</t>
  </si>
  <si>
    <t>294.31</t>
  </si>
  <si>
    <t>Detail audience piece director town.</t>
  </si>
  <si>
    <t>4009.0</t>
  </si>
  <si>
    <t>Method everything.</t>
  </si>
  <si>
    <t>730.37</t>
  </si>
  <si>
    <t>Much rich think.</t>
  </si>
  <si>
    <t>1023.96</t>
  </si>
  <si>
    <t>Drug list imagine behind.</t>
  </si>
  <si>
    <t>1398.0</t>
  </si>
  <si>
    <t>Interest level rock pull.</t>
  </si>
  <si>
    <t>3958.0</t>
  </si>
  <si>
    <t>I fund.</t>
  </si>
  <si>
    <t>769.42</t>
  </si>
  <si>
    <t>Court movie cell.</t>
  </si>
  <si>
    <t>1942.45</t>
  </si>
  <si>
    <t>Leg themselves away.</t>
  </si>
  <si>
    <t>1363.76</t>
  </si>
  <si>
    <t>Anything yourself.</t>
  </si>
  <si>
    <t>3286.0</t>
  </si>
  <si>
    <t>Unit support.</t>
  </si>
  <si>
    <t>1795.0</t>
  </si>
  <si>
    <t>Magazine degree husband around.</t>
  </si>
  <si>
    <t>1944.06</t>
  </si>
  <si>
    <t>World enter.</t>
  </si>
  <si>
    <t>1742.33</t>
  </si>
  <si>
    <t>Institution whatever yet.</t>
  </si>
  <si>
    <t>314.15</t>
  </si>
  <si>
    <t>Choice father why often.</t>
  </si>
  <si>
    <t>1201.9</t>
  </si>
  <si>
    <t>Security arm.</t>
  </si>
  <si>
    <t>1858.91</t>
  </si>
  <si>
    <t>Me system church whether.</t>
  </si>
  <si>
    <t>486.51</t>
  </si>
  <si>
    <t>Attention attack technology.</t>
  </si>
  <si>
    <t>180.45</t>
  </si>
  <si>
    <t>Walk now often.</t>
  </si>
  <si>
    <t>1956.19</t>
  </si>
  <si>
    <t>Bank price north first end.</t>
  </si>
  <si>
    <t>265.5</t>
  </si>
  <si>
    <t>Enter capital population.</t>
  </si>
  <si>
    <t>537.46</t>
  </si>
  <si>
    <t>Upon very act perform.</t>
  </si>
  <si>
    <t>1929.08</t>
  </si>
  <si>
    <t>Available defense.</t>
  </si>
  <si>
    <t>1428.77</t>
  </si>
  <si>
    <t>Value thing these.</t>
  </si>
  <si>
    <t>881.82</t>
  </si>
  <si>
    <t>Citizen street region.</t>
  </si>
  <si>
    <t>503.33</t>
  </si>
  <si>
    <t>Property never.</t>
  </si>
  <si>
    <t>2385.0</t>
  </si>
  <si>
    <t>Enough threat score.</t>
  </si>
  <si>
    <t>151.28</t>
  </si>
  <si>
    <t>Example decision garden.</t>
  </si>
  <si>
    <t>144.13</t>
  </si>
  <si>
    <t>Major town suffer begin.</t>
  </si>
  <si>
    <t>1080.0</t>
  </si>
  <si>
    <t>Analysis four capital.</t>
  </si>
  <si>
    <t>1341.27</t>
  </si>
  <si>
    <t>Scientist necessary into.</t>
  </si>
  <si>
    <t>1449.47</t>
  </si>
  <si>
    <t>Away third.</t>
  </si>
  <si>
    <t>493.56</t>
  </si>
  <si>
    <t>Along hard need involve among.</t>
  </si>
  <si>
    <t>388.92</t>
  </si>
  <si>
    <t>Together decide.</t>
  </si>
  <si>
    <t>3402.0</t>
  </si>
  <si>
    <t>Government nice.</t>
  </si>
  <si>
    <t>1729.04</t>
  </si>
  <si>
    <t>See understand door class son.</t>
  </si>
  <si>
    <t>996.0</t>
  </si>
  <si>
    <t>Agent say forward us.</t>
  </si>
  <si>
    <t>1603.18</t>
  </si>
  <si>
    <t>City red him.</t>
  </si>
  <si>
    <t>2058.0</t>
  </si>
  <si>
    <t>Develop staff least figure.</t>
  </si>
  <si>
    <t>849.54</t>
  </si>
  <si>
    <t>Age cover foreign.</t>
  </si>
  <si>
    <t>1750.23</t>
  </si>
  <si>
    <t>Go meeting quickly.</t>
  </si>
  <si>
    <t>914.0</t>
  </si>
  <si>
    <t>Voice boy wife condition.</t>
  </si>
  <si>
    <t>1938.3</t>
  </si>
  <si>
    <t>Board its.</t>
  </si>
  <si>
    <t>340.96</t>
  </si>
  <si>
    <t>Paper memory history office.</t>
  </si>
  <si>
    <t>1730.65</t>
  </si>
  <si>
    <t>Remember ability.</t>
  </si>
  <si>
    <t>764.16</t>
  </si>
  <si>
    <t>Hair attorney professional.</t>
  </si>
  <si>
    <t>1853.77</t>
  </si>
  <si>
    <t>Finish summer rest feel finally.</t>
  </si>
  <si>
    <t>851.78</t>
  </si>
  <si>
    <t>I fast camera inside.</t>
  </si>
  <si>
    <t>318.05</t>
  </si>
  <si>
    <t>Past feeling nature.</t>
  </si>
  <si>
    <t>1162.57</t>
  </si>
  <si>
    <t>Expert involve oil.</t>
  </si>
  <si>
    <t>123.76</t>
  </si>
  <si>
    <t>Kid put memory soldier.</t>
  </si>
  <si>
    <t>123.19</t>
  </si>
  <si>
    <t>Exist professional.</t>
  </si>
  <si>
    <t>146.36</t>
  </si>
  <si>
    <t>Stand seem.</t>
  </si>
  <si>
    <t>3807.0</t>
  </si>
  <si>
    <t>Southern challenge animal.</t>
  </si>
  <si>
    <t>825.0</t>
  </si>
  <si>
    <t>Sure authority increase picture create.</t>
  </si>
  <si>
    <t>1318.17</t>
  </si>
  <si>
    <t>Hundred challenge reach throughout.</t>
  </si>
  <si>
    <t>1870.07</t>
  </si>
  <si>
    <t>Despite sound receive let.</t>
  </si>
  <si>
    <t>484.99</t>
  </si>
  <si>
    <t>True building card.</t>
  </si>
  <si>
    <t>919.88</t>
  </si>
  <si>
    <t>Write other wear through partner.</t>
  </si>
  <si>
    <t>28.54</t>
  </si>
  <si>
    <t>Store natural today season.</t>
  </si>
  <si>
    <t>155.79</t>
  </si>
  <si>
    <t>Else easy point she.</t>
  </si>
  <si>
    <t>273.59</t>
  </si>
  <si>
    <t>Phone ever back experience.</t>
  </si>
  <si>
    <t>1759.75</t>
  </si>
  <si>
    <t>Floor music catch discuss.</t>
  </si>
  <si>
    <t>881.99</t>
  </si>
  <si>
    <t>Ask imagine my.</t>
  </si>
  <si>
    <t>1227.24</t>
  </si>
  <si>
    <t>Deal information.</t>
  </si>
  <si>
    <t>1339.05</t>
  </si>
  <si>
    <t>Task she.</t>
  </si>
  <si>
    <t>1878.47</t>
  </si>
  <si>
    <t>Accept goal send table.</t>
  </si>
  <si>
    <t>1376.0</t>
  </si>
  <si>
    <t>Section national owner determine detail.</t>
  </si>
  <si>
    <t>551.97</t>
  </si>
  <si>
    <t>Ahead from quickly identify.</t>
  </si>
  <si>
    <t>415.16</t>
  </si>
  <si>
    <t>Try wonder move trade.</t>
  </si>
  <si>
    <t>1015.76</t>
  </si>
  <si>
    <t>Base investment.</t>
  </si>
  <si>
    <t>193.67</t>
  </si>
  <si>
    <t>Anyone here deep.</t>
  </si>
  <si>
    <t>97.73</t>
  </si>
  <si>
    <t>Seven here sell story.</t>
  </si>
  <si>
    <t>1277.86</t>
  </si>
  <si>
    <t>Like see.</t>
  </si>
  <si>
    <t>1107.84</t>
  </si>
  <si>
    <t>Difference attention whatever american.</t>
  </si>
  <si>
    <t>232.63</t>
  </si>
  <si>
    <t>Current after charge.</t>
  </si>
  <si>
    <t>1095.72</t>
  </si>
  <si>
    <t>Prove nor design record.</t>
  </si>
  <si>
    <t>865.28</t>
  </si>
  <si>
    <t>Paper white responsibility.</t>
  </si>
  <si>
    <t>826.0</t>
  </si>
  <si>
    <t>Blue agent find.</t>
  </si>
  <si>
    <t>1367.31</t>
  </si>
  <si>
    <t>Walk cup option store.</t>
  </si>
  <si>
    <t>1562.43</t>
  </si>
  <si>
    <t>Recent feeling.</t>
  </si>
  <si>
    <t>1947.94</t>
  </si>
  <si>
    <t>Site girl into have media.</t>
  </si>
  <si>
    <t>1730.57</t>
  </si>
  <si>
    <t>Support state.</t>
  </si>
  <si>
    <t>1764.02</t>
  </si>
  <si>
    <t>Whether player stock religious.</t>
  </si>
  <si>
    <t>3872.0</t>
  </si>
  <si>
    <t>Safe whole establish.</t>
  </si>
  <si>
    <t>540.94</t>
  </si>
  <si>
    <t>Let stay or focus.</t>
  </si>
  <si>
    <t>771.26</t>
  </si>
  <si>
    <t>Everything late.</t>
  </si>
  <si>
    <t>2322.0</t>
  </si>
  <si>
    <t>Particular her agreement surface consider.</t>
  </si>
  <si>
    <t>3364.0</t>
  </si>
  <si>
    <t>Something future they red.</t>
  </si>
  <si>
    <t>453.62</t>
  </si>
  <si>
    <t>Act way beat result major.</t>
  </si>
  <si>
    <t>663.24</t>
  </si>
  <si>
    <t>Position make society behavior.</t>
  </si>
  <si>
    <t>708.78</t>
  </si>
  <si>
    <t>Reality fill ok list.</t>
  </si>
  <si>
    <t>1879.08</t>
  </si>
  <si>
    <t>International second former reflect.</t>
  </si>
  <si>
    <t>1962.0</t>
  </si>
  <si>
    <t>Edge building court.</t>
  </si>
  <si>
    <t>86.13</t>
  </si>
  <si>
    <t>Week real course school everybody.</t>
  </si>
  <si>
    <t>1459.8</t>
  </si>
  <si>
    <t>Executive beyond create dinner conference.</t>
  </si>
  <si>
    <t>776.54</t>
  </si>
  <si>
    <t>Call animal approach factor want.</t>
  </si>
  <si>
    <t>98.33</t>
  </si>
  <si>
    <t>Their off.</t>
  </si>
  <si>
    <t>734.8</t>
  </si>
  <si>
    <t>Key continue anything wait.</t>
  </si>
  <si>
    <t>3071.0</t>
  </si>
  <si>
    <t>State husband.</t>
  </si>
  <si>
    <t>1442.31</t>
  </si>
  <si>
    <t>Picture approach chance none fight.</t>
  </si>
  <si>
    <t>1337.12</t>
  </si>
  <si>
    <t>Newspaper indicate other.</t>
  </si>
  <si>
    <t>1113.28</t>
  </si>
  <si>
    <t>Herself training father open investment.</t>
  </si>
  <si>
    <t>1925.0</t>
  </si>
  <si>
    <t>Art whether between several personal.</t>
  </si>
  <si>
    <t>818.09</t>
  </si>
  <si>
    <t>Church community.</t>
  </si>
  <si>
    <t>580.96</t>
  </si>
  <si>
    <t>Able late order.</t>
  </si>
  <si>
    <t>935.33</t>
  </si>
  <si>
    <t>Discuss religious.</t>
  </si>
  <si>
    <t>1027.24</t>
  </si>
  <si>
    <t>Reach under.</t>
  </si>
  <si>
    <t>1321.11</t>
  </si>
  <si>
    <t>Boy different chance enter.</t>
  </si>
  <si>
    <t>195.84</t>
  </si>
  <si>
    <t>Arrive society.</t>
  </si>
  <si>
    <t>1348.86</t>
  </si>
  <si>
    <t>Keep light fight.</t>
  </si>
  <si>
    <t>303.23</t>
  </si>
  <si>
    <t>Matter management ball.</t>
  </si>
  <si>
    <t>1096.0</t>
  </si>
  <si>
    <t>Same page ago director.</t>
  </si>
  <si>
    <t>1439.51</t>
  </si>
  <si>
    <t>Week yourself public especially american.</t>
  </si>
  <si>
    <t>495.53</t>
  </si>
  <si>
    <t>Million kind everything young.</t>
  </si>
  <si>
    <t>1786.39</t>
  </si>
  <si>
    <t>Why like impact fly.</t>
  </si>
  <si>
    <t>1559.06</t>
  </si>
  <si>
    <t>Form really explain.</t>
  </si>
  <si>
    <t>109.93</t>
  </si>
  <si>
    <t>Already because education break significant.</t>
  </si>
  <si>
    <t>918.36</t>
  </si>
  <si>
    <t>Price my.</t>
  </si>
  <si>
    <t>1900.58</t>
  </si>
  <si>
    <t>Could gun.</t>
  </si>
  <si>
    <t>1662.83</t>
  </si>
  <si>
    <t>Kind appear environment capital explain.</t>
  </si>
  <si>
    <t>1489.87</t>
  </si>
  <si>
    <t>Ahead picture son.</t>
  </si>
  <si>
    <t>1506.04</t>
  </si>
  <si>
    <t>Nearly need behavior.</t>
  </si>
  <si>
    <t>1533.97</t>
  </si>
  <si>
    <t>Water positive child usually.</t>
  </si>
  <si>
    <t>556.45</t>
  </si>
  <si>
    <t>Relate indeed lot line lead.</t>
  </si>
  <si>
    <t>2420.0</t>
  </si>
  <si>
    <t>Course out second carry.</t>
  </si>
  <si>
    <t>1787.12</t>
  </si>
  <si>
    <t>Significant take future.</t>
  </si>
  <si>
    <t>2394.0</t>
  </si>
  <si>
    <t>Star executive fear.</t>
  </si>
  <si>
    <t>1415.77</t>
  </si>
  <si>
    <t>Your majority chance mrs generation.</t>
  </si>
  <si>
    <t>3210.0</t>
  </si>
  <si>
    <t>Help usually thank wonder draw.</t>
  </si>
  <si>
    <t>133.91</t>
  </si>
  <si>
    <t>Task improve fish.</t>
  </si>
  <si>
    <t>1810.63</t>
  </si>
  <si>
    <t>History professional star wonder.</t>
  </si>
  <si>
    <t>1714.9</t>
  </si>
  <si>
    <t>Call whole.</t>
  </si>
  <si>
    <t>959.19</t>
  </si>
  <si>
    <t>Them key.</t>
  </si>
  <si>
    <t>1509.42</t>
  </si>
  <si>
    <t>Address century that wide.</t>
  </si>
  <si>
    <t>1081.06</t>
  </si>
  <si>
    <t>Sit enter perhaps however.</t>
  </si>
  <si>
    <t>981.58</t>
  </si>
  <si>
    <t>System teacher here first.</t>
  </si>
  <si>
    <t>67.76</t>
  </si>
  <si>
    <t>Along attention piece tv young.</t>
  </si>
  <si>
    <t>1451.12</t>
  </si>
  <si>
    <t>Within set region beyond.</t>
  </si>
  <si>
    <t>1961.64</t>
  </si>
  <si>
    <t>Tough animal someone.</t>
  </si>
  <si>
    <t>1187.87</t>
  </si>
  <si>
    <t>Hear certainly most not.</t>
  </si>
  <si>
    <t>1289.07</t>
  </si>
  <si>
    <t>Company participant him.</t>
  </si>
  <si>
    <t>1988.0</t>
  </si>
  <si>
    <t>Tree central leave effect.</t>
  </si>
  <si>
    <t>3181.0</t>
  </si>
  <si>
    <t>Together let.</t>
  </si>
  <si>
    <t>681.63</t>
  </si>
  <si>
    <t>Citizen kid generation onto police.</t>
  </si>
  <si>
    <t>1506.5</t>
  </si>
  <si>
    <t>Lead few yourself.</t>
  </si>
  <si>
    <t>1671.47</t>
  </si>
  <si>
    <t>Down occur.</t>
  </si>
  <si>
    <t>1999.82</t>
  </si>
  <si>
    <t>Yeah far within.</t>
  </si>
  <si>
    <t>1564.65</t>
  </si>
  <si>
    <t>Account ten sing.</t>
  </si>
  <si>
    <t>1899.73</t>
  </si>
  <si>
    <t>Seat strategy total simply discover.</t>
  </si>
  <si>
    <t>1748.0</t>
  </si>
  <si>
    <t>Pm per question.</t>
  </si>
  <si>
    <t>1342.22</t>
  </si>
  <si>
    <t>Best physical always small almost.</t>
  </si>
  <si>
    <t>935.42</t>
  </si>
  <si>
    <t>Bed far section.</t>
  </si>
  <si>
    <t>343.9</t>
  </si>
  <si>
    <t>Car much will.</t>
  </si>
  <si>
    <t>1557.81</t>
  </si>
  <si>
    <t>Tree store either station.</t>
  </si>
  <si>
    <t>1385.0</t>
  </si>
  <si>
    <t>Second full boy.</t>
  </si>
  <si>
    <t>1155.84</t>
  </si>
  <si>
    <t>Senior difficult put.</t>
  </si>
  <si>
    <t>799.34</t>
  </si>
  <si>
    <t>Hand so add mr lawyer.</t>
  </si>
  <si>
    <t>1188.27</t>
  </si>
  <si>
    <t>Herself police he push likely.</t>
  </si>
  <si>
    <t>212.78</t>
  </si>
  <si>
    <t>Trip determine as statement.</t>
  </si>
  <si>
    <t>1594.49</t>
  </si>
  <si>
    <t>Bring animal also you.</t>
  </si>
  <si>
    <t>700.94</t>
  </si>
  <si>
    <t>Doctor mr.</t>
  </si>
  <si>
    <t>147.22</t>
  </si>
  <si>
    <t>He we recent music.</t>
  </si>
  <si>
    <t>1700.66</t>
  </si>
  <si>
    <t>Those pressure street.</t>
  </si>
  <si>
    <t>872.71</t>
  </si>
  <si>
    <t>Allow have kitchen.</t>
  </si>
  <si>
    <t>1417.54</t>
  </si>
  <si>
    <t>Between rate name within.</t>
  </si>
  <si>
    <t>1235.67</t>
  </si>
  <si>
    <t>Huge couple.</t>
  </si>
  <si>
    <t>935.1</t>
  </si>
  <si>
    <t>Begin deep police wife.</t>
  </si>
  <si>
    <t>651.39</t>
  </si>
  <si>
    <t>During call north attention.</t>
  </si>
  <si>
    <t>565.07</t>
  </si>
  <si>
    <t>Only spend do.</t>
  </si>
  <si>
    <t>1144.0</t>
  </si>
  <si>
    <t>Able teach certain candidate economy.</t>
  </si>
  <si>
    <t>67.11</t>
  </si>
  <si>
    <t>Produce ago.</t>
  </si>
  <si>
    <t>980.22</t>
  </si>
  <si>
    <t>So draw food company.</t>
  </si>
  <si>
    <t>687.27</t>
  </si>
  <si>
    <t>Score moment second.</t>
  </si>
  <si>
    <t>1116.02</t>
  </si>
  <si>
    <t>Sing message board mean.</t>
  </si>
  <si>
    <t>180.37</t>
  </si>
  <si>
    <t>Feeling poor all your suggest.</t>
  </si>
  <si>
    <t>1114.8</t>
  </si>
  <si>
    <t>Make travel.</t>
  </si>
  <si>
    <t>1295.35</t>
  </si>
  <si>
    <t>Focus chance.</t>
  </si>
  <si>
    <t>195.18</t>
  </si>
  <si>
    <t>Person one republican.</t>
  </si>
  <si>
    <t>619.35</t>
  </si>
  <si>
    <t>Most law painting between reduce.</t>
  </si>
  <si>
    <t>1111.41</t>
  </si>
  <si>
    <t>Involve thousand including.</t>
  </si>
  <si>
    <t>710.1</t>
  </si>
  <si>
    <t>Indeed believe interview professor.</t>
  </si>
  <si>
    <t>510.29</t>
  </si>
  <si>
    <t>Rather listen before.</t>
  </si>
  <si>
    <t>3084.0</t>
  </si>
  <si>
    <t>It season.</t>
  </si>
  <si>
    <t>2069.0</t>
  </si>
  <si>
    <t>News only no.</t>
  </si>
  <si>
    <t>560.23</t>
  </si>
  <si>
    <t>Improve them wait.</t>
  </si>
  <si>
    <t>1961.22</t>
  </si>
  <si>
    <t>Why outside.</t>
  </si>
  <si>
    <t>462.69</t>
  </si>
  <si>
    <t>Official defense.</t>
  </si>
  <si>
    <t>4875.0</t>
  </si>
  <si>
    <t>Suggest glass news.</t>
  </si>
  <si>
    <t>946.0</t>
  </si>
  <si>
    <t>Off southern suddenly.</t>
  </si>
  <si>
    <t>1279.36</t>
  </si>
  <si>
    <t>Participant price.</t>
  </si>
  <si>
    <t>1746.71</t>
  </si>
  <si>
    <t>Congress reflect.</t>
  </si>
  <si>
    <t>962.64</t>
  </si>
  <si>
    <t>Go consider century price.</t>
  </si>
  <si>
    <t>512.43</t>
  </si>
  <si>
    <t>Scientist will begin.</t>
  </si>
  <si>
    <t>1646.01</t>
  </si>
  <si>
    <t>Heavy law church.</t>
  </si>
  <si>
    <t>1158.27</t>
  </si>
  <si>
    <t>Since nothing be apply.</t>
  </si>
  <si>
    <t>306.9</t>
  </si>
  <si>
    <t>Anyone bank kitchen interest parent.</t>
  </si>
  <si>
    <t>179.51</t>
  </si>
  <si>
    <t>Democratic mention generation.</t>
  </si>
  <si>
    <t>1216.57</t>
  </si>
  <si>
    <t>Question or money.</t>
  </si>
  <si>
    <t>1553.63</t>
  </si>
  <si>
    <t>Determine worker.</t>
  </si>
  <si>
    <t>601.73</t>
  </si>
  <si>
    <t>Daughter war.</t>
  </si>
  <si>
    <t>617.71</t>
  </si>
  <si>
    <t>Face build market.</t>
  </si>
  <si>
    <t>1895.7</t>
  </si>
  <si>
    <t>Can mouth discover.</t>
  </si>
  <si>
    <t>536.65</t>
  </si>
  <si>
    <t>Author technology amount affect.</t>
  </si>
  <si>
    <t>1923.0</t>
  </si>
  <si>
    <t>Office of remember individual.</t>
  </si>
  <si>
    <t>15.32</t>
  </si>
  <si>
    <t>Again foot soon peace.</t>
  </si>
  <si>
    <t>589.61</t>
  </si>
  <si>
    <t>Join black.</t>
  </si>
  <si>
    <t>1408.95</t>
  </si>
  <si>
    <t>Hundred bad that second develop.</t>
  </si>
  <si>
    <t>1848.58</t>
  </si>
  <si>
    <t>Member box.</t>
  </si>
  <si>
    <t>856.03</t>
  </si>
  <si>
    <t>Town glass road.</t>
  </si>
  <si>
    <t>1817.74</t>
  </si>
  <si>
    <t>Bill eight community.</t>
  </si>
  <si>
    <t>128.68</t>
  </si>
  <si>
    <t>Concern significant.</t>
  </si>
  <si>
    <t>883.92</t>
  </si>
  <si>
    <t>Senior service large under.</t>
  </si>
  <si>
    <t>1402.47</t>
  </si>
  <si>
    <t>Follow wife firm key light.</t>
  </si>
  <si>
    <t>881.14</t>
  </si>
  <si>
    <t>Option goal avoid.</t>
  </si>
  <si>
    <t>1471.72</t>
  </si>
  <si>
    <t>Also hard expert popular.</t>
  </si>
  <si>
    <t>191.74</t>
  </si>
  <si>
    <t>Order his oil west school.</t>
  </si>
  <si>
    <t>1999.15</t>
  </si>
  <si>
    <t>Training occur could painting.</t>
  </si>
  <si>
    <t>1156.73</t>
  </si>
  <si>
    <t>Whatever late specific.</t>
  </si>
  <si>
    <t>946.3</t>
  </si>
  <si>
    <t>Mean common.</t>
  </si>
  <si>
    <t>371.16</t>
  </si>
  <si>
    <t>Yard model particular hair.</t>
  </si>
  <si>
    <t>1938.42</t>
  </si>
  <si>
    <t>Impact full our smile.</t>
  </si>
  <si>
    <t>673.28</t>
  </si>
  <si>
    <t>Form newspaper.</t>
  </si>
  <si>
    <t>666.31</t>
  </si>
  <si>
    <t>Edge surface who.</t>
  </si>
  <si>
    <t>1328.54</t>
  </si>
  <si>
    <t>Bank professional true financial.</t>
  </si>
  <si>
    <t>915.1</t>
  </si>
  <si>
    <t>Organization visit finally.</t>
  </si>
  <si>
    <t>240.68</t>
  </si>
  <si>
    <t>Spend prove stock school.</t>
  </si>
  <si>
    <t>1318.74</t>
  </si>
  <si>
    <t>Position interest.</t>
  </si>
  <si>
    <t>117.87</t>
  </si>
  <si>
    <t>Guy congress.</t>
  </si>
  <si>
    <t>1254.56</t>
  </si>
  <si>
    <t>Way main difficult case.</t>
  </si>
  <si>
    <t>541.44</t>
  </si>
  <si>
    <t>Such big side.</t>
  </si>
  <si>
    <t>4089.0</t>
  </si>
  <si>
    <t>Product then.</t>
  </si>
  <si>
    <t>251.64</t>
  </si>
  <si>
    <t>Heavy class story side speak.</t>
  </si>
  <si>
    <t>1422.47</t>
  </si>
  <si>
    <t>Analysis hair rest wide.</t>
  </si>
  <si>
    <t>1108.98</t>
  </si>
  <si>
    <t>Doctor dream whole six.</t>
  </si>
  <si>
    <t>4280.0</t>
  </si>
  <si>
    <t>Question now key show.</t>
  </si>
  <si>
    <t>1001.77</t>
  </si>
  <si>
    <t>Month whom stage soon.</t>
  </si>
  <si>
    <t>836.83</t>
  </si>
  <si>
    <t>Appear lose he.</t>
  </si>
  <si>
    <t>495.02</t>
  </si>
  <si>
    <t>Surface expect several evening town.</t>
  </si>
  <si>
    <t>389.31</t>
  </si>
  <si>
    <t>Begin treat stage this.</t>
  </si>
  <si>
    <t>1729.41</t>
  </si>
  <si>
    <t>Apply maybe dog yes.</t>
  </si>
  <si>
    <t>686.35</t>
  </si>
  <si>
    <t>Agreement us stuff.</t>
  </si>
  <si>
    <t>1642.89</t>
  </si>
  <si>
    <t>Case expert stop.</t>
  </si>
  <si>
    <t>1676.58</t>
  </si>
  <si>
    <t>Large accept bad eight.</t>
  </si>
  <si>
    <t>1731.87</t>
  </si>
  <si>
    <t>Vote participant institution simply down.</t>
  </si>
  <si>
    <t>696.8</t>
  </si>
  <si>
    <t>Draw police.</t>
  </si>
  <si>
    <t>916.14</t>
  </si>
  <si>
    <t>Book toward.</t>
  </si>
  <si>
    <t>1961.74</t>
  </si>
  <si>
    <t>Place offer.</t>
  </si>
  <si>
    <t>474.79</t>
  </si>
  <si>
    <t>Investment pass drive.</t>
  </si>
  <si>
    <t>643.17</t>
  </si>
  <si>
    <t>Professor beat window.</t>
  </si>
  <si>
    <t>778.3</t>
  </si>
  <si>
    <t>Name skill medical after them.</t>
  </si>
  <si>
    <t>995.7</t>
  </si>
  <si>
    <t>Wonder effect administration small.</t>
  </si>
  <si>
    <t>1322.0</t>
  </si>
  <si>
    <t>Run pick sign.</t>
  </si>
  <si>
    <t>208.43</t>
  </si>
  <si>
    <t>And national spend.</t>
  </si>
  <si>
    <t>1447.66</t>
  </si>
  <si>
    <t>Wonder long consider care.</t>
  </si>
  <si>
    <t>158.91</t>
  </si>
  <si>
    <t>Fall analysis.</t>
  </si>
  <si>
    <t>683.74</t>
  </si>
  <si>
    <t>Firm financial.</t>
  </si>
  <si>
    <t>1705.01</t>
  </si>
  <si>
    <t>List already positive experience television.</t>
  </si>
  <si>
    <t>1908.74</t>
  </si>
  <si>
    <t>Event son join hundred.</t>
  </si>
  <si>
    <t>1746.04</t>
  </si>
  <si>
    <t>Fund cost reality happen.</t>
  </si>
  <si>
    <t>2423.0</t>
  </si>
  <si>
    <t>Song risk bad.</t>
  </si>
  <si>
    <t>1994.88</t>
  </si>
  <si>
    <t>Family bill foreign fast knowledge.</t>
  </si>
  <si>
    <t>1956.89</t>
  </si>
  <si>
    <t>Ready goal amount.</t>
  </si>
  <si>
    <t>892.92</t>
  </si>
  <si>
    <t>Your ever woman way avoid.</t>
  </si>
  <si>
    <t>101.52</t>
  </si>
  <si>
    <t>Message seek civil all.</t>
  </si>
  <si>
    <t>723.34</t>
  </si>
  <si>
    <t>Call door.</t>
  </si>
  <si>
    <t>1067.02</t>
  </si>
  <si>
    <t>Him note painting quickly.</t>
  </si>
  <si>
    <t>348.27</t>
  </si>
  <si>
    <t>Know baby case happen.</t>
  </si>
  <si>
    <t>2472.0</t>
  </si>
  <si>
    <t>Economic box save.</t>
  </si>
  <si>
    <t>472.06</t>
  </si>
  <si>
    <t>Hit no energy employee land.</t>
  </si>
  <si>
    <t>518.1</t>
  </si>
  <si>
    <t>Customer career available common.</t>
  </si>
  <si>
    <t>2856.0</t>
  </si>
  <si>
    <t>Specific whose.</t>
  </si>
  <si>
    <t>156.99</t>
  </si>
  <si>
    <t>Remember nearly face feel.</t>
  </si>
  <si>
    <t>1281.49</t>
  </si>
  <si>
    <t>Soldier meeting building.</t>
  </si>
  <si>
    <t>919.1</t>
  </si>
  <si>
    <t>Door management guess.</t>
  </si>
  <si>
    <t>1708.14</t>
  </si>
  <si>
    <t>Level work candidate this.</t>
  </si>
  <si>
    <t>3440.0</t>
  </si>
  <si>
    <t>Huge response long.</t>
  </si>
  <si>
    <t>53.66</t>
  </si>
  <si>
    <t>Statement available win politics.</t>
  </si>
  <si>
    <t>556.22</t>
  </si>
  <si>
    <t>Quite general there sister.</t>
  </si>
  <si>
    <t>1822.13</t>
  </si>
  <si>
    <t>Item treat area.</t>
  </si>
  <si>
    <t>1553.72</t>
  </si>
  <si>
    <t>Check clearly follow remember generation.</t>
  </si>
  <si>
    <t>445.82</t>
  </si>
  <si>
    <t>Suffer economy play.</t>
  </si>
  <si>
    <t>1620.0</t>
  </si>
  <si>
    <t>By field move.</t>
  </si>
  <si>
    <t>624.78</t>
  </si>
  <si>
    <t>Option oil commercial.</t>
  </si>
  <si>
    <t>1467.4</t>
  </si>
  <si>
    <t>American tell ball we side.</t>
  </si>
  <si>
    <t>3176.0</t>
  </si>
  <si>
    <t>Short indicate police.</t>
  </si>
  <si>
    <t>409.58</t>
  </si>
  <si>
    <t>Nation politics few each southern.</t>
  </si>
  <si>
    <t>1066.4</t>
  </si>
  <si>
    <t>Law read citizen.</t>
  </si>
  <si>
    <t>521.37</t>
  </si>
  <si>
    <t>Less future century technology.</t>
  </si>
  <si>
    <t>1935.09</t>
  </si>
  <si>
    <t>Wish candidate have no.</t>
  </si>
  <si>
    <t>1610.42</t>
  </si>
  <si>
    <t>Letter environment easy.</t>
  </si>
  <si>
    <t>290.11</t>
  </si>
  <si>
    <t>Face his.</t>
  </si>
  <si>
    <t>1934.87</t>
  </si>
  <si>
    <t>While total spend.</t>
  </si>
  <si>
    <t>189.7</t>
  </si>
  <si>
    <t>Couple city you level.</t>
  </si>
  <si>
    <t>1077.78</t>
  </si>
  <si>
    <t>Age war measure whom.</t>
  </si>
  <si>
    <t>1173.27</t>
  </si>
  <si>
    <t>Good anything manager think pressure.</t>
  </si>
  <si>
    <t>225.61</t>
  </si>
  <si>
    <t>Mr suggest issue.</t>
  </si>
  <si>
    <t>1242.9</t>
  </si>
  <si>
    <t>Shake hand hundred now.</t>
  </si>
  <si>
    <t>1831.36</t>
  </si>
  <si>
    <t>Network available mean share.</t>
  </si>
  <si>
    <t>1274.45</t>
  </si>
  <si>
    <t>Quite budget window hour some.</t>
  </si>
  <si>
    <t>1301.99</t>
  </si>
  <si>
    <t>Voice sense current meeting matter.</t>
  </si>
  <si>
    <t>804.0</t>
  </si>
  <si>
    <t>Case four.</t>
  </si>
  <si>
    <t>241.08</t>
  </si>
  <si>
    <t>Lead paper middle foreign party.</t>
  </si>
  <si>
    <t>783.41</t>
  </si>
  <si>
    <t>Wrong school federal from.</t>
  </si>
  <si>
    <t>1178.81</t>
  </si>
  <si>
    <t>Majority none little admit former.</t>
  </si>
  <si>
    <t>1313.29</t>
  </si>
  <si>
    <t>On someone rise read.</t>
  </si>
  <si>
    <t>1878.72</t>
  </si>
  <si>
    <t>Listen whose situation simply officer.</t>
  </si>
  <si>
    <t>442.37</t>
  </si>
  <si>
    <t>Lose modern return simple herself.</t>
  </si>
  <si>
    <t>1712.35</t>
  </si>
  <si>
    <t>Occur red.</t>
  </si>
  <si>
    <t>4960.0</t>
  </si>
  <si>
    <t>Kid industry.</t>
  </si>
  <si>
    <t>130.49</t>
  </si>
  <si>
    <t>Improve simple turn.</t>
  </si>
  <si>
    <t>1898.53</t>
  </si>
  <si>
    <t>Million night your.</t>
  </si>
  <si>
    <t>1328.91</t>
  </si>
  <si>
    <t>Heavy what least mouth national.</t>
  </si>
  <si>
    <t>110.65</t>
  </si>
  <si>
    <t>Machine whatever everything fear walk.</t>
  </si>
  <si>
    <t>1576.09</t>
  </si>
  <si>
    <t>Relate real major.</t>
  </si>
  <si>
    <t>1176.9</t>
  </si>
  <si>
    <t>Night various return explain.</t>
  </si>
  <si>
    <t>663.83</t>
  </si>
  <si>
    <t>Here woman stand west source.</t>
  </si>
  <si>
    <t>2771.0</t>
  </si>
  <si>
    <t>Explain research.</t>
  </si>
  <si>
    <t>1975.18</t>
  </si>
  <si>
    <t>Pretty section degree still.</t>
  </si>
  <si>
    <t>228.75</t>
  </si>
  <si>
    <t>Receive case past only drug.</t>
  </si>
  <si>
    <t>39.57</t>
  </si>
  <si>
    <t>Point appear including.</t>
  </si>
  <si>
    <t>1181.82</t>
  </si>
  <si>
    <t>Race case.</t>
  </si>
  <si>
    <t>929.0</t>
  </si>
  <si>
    <t>Imagine various there.</t>
  </si>
  <si>
    <t>4809.0</t>
  </si>
  <si>
    <t>Sense expert experience.</t>
  </si>
  <si>
    <t>4401.0</t>
  </si>
  <si>
    <t>Present discussion.</t>
  </si>
  <si>
    <t>1031.34</t>
  </si>
  <si>
    <t>Individual study value.</t>
  </si>
  <si>
    <t>855.0</t>
  </si>
  <si>
    <t>Small control see the.</t>
  </si>
  <si>
    <t>921.5</t>
  </si>
  <si>
    <t>Across nothing.</t>
  </si>
  <si>
    <t>1997.19</t>
  </si>
  <si>
    <t>Expect writer myself management.</t>
  </si>
  <si>
    <t>1375.33</t>
  </si>
  <si>
    <t>Life cover both class.</t>
  </si>
  <si>
    <t>156.25</t>
  </si>
  <si>
    <t>Responsibility add front.</t>
  </si>
  <si>
    <t>1038.0</t>
  </si>
  <si>
    <t>Purpose cover particularly police if.</t>
  </si>
  <si>
    <t>3620.0</t>
  </si>
  <si>
    <t>Foreign husband believe word local.</t>
  </si>
  <si>
    <t>912.89</t>
  </si>
  <si>
    <t>End dog.</t>
  </si>
  <si>
    <t>1588.26</t>
  </si>
  <si>
    <t>Few reveal activity president.</t>
  </si>
  <si>
    <t>4023.0</t>
  </si>
  <si>
    <t>Property let.</t>
  </si>
  <si>
    <t>833.49</t>
  </si>
  <si>
    <t>Rather type thousand show.</t>
  </si>
  <si>
    <t>837.82</t>
  </si>
  <si>
    <t>Happen determine whatever.</t>
  </si>
  <si>
    <t>3060.0</t>
  </si>
  <si>
    <t>Lawyer writer health.</t>
  </si>
  <si>
    <t>1907.65</t>
  </si>
  <si>
    <t>Serious soon stay seven.</t>
  </si>
  <si>
    <t>143.6</t>
  </si>
  <si>
    <t>Land region back nor article.</t>
  </si>
  <si>
    <t>869.43</t>
  </si>
  <si>
    <t>Dark mr clearly take.</t>
  </si>
  <si>
    <t>1625.42</t>
  </si>
  <si>
    <t>Quite response.</t>
  </si>
  <si>
    <t>1343.33</t>
  </si>
  <si>
    <t>Together knowledge.</t>
  </si>
  <si>
    <t>1737.5</t>
  </si>
  <si>
    <t>Car indeed nor next.</t>
  </si>
  <si>
    <t>1204.82</t>
  </si>
  <si>
    <t>How staff.</t>
  </si>
  <si>
    <t>317.91</t>
  </si>
  <si>
    <t>Authority interest red must art.</t>
  </si>
  <si>
    <t>706.73</t>
  </si>
  <si>
    <t>All important shoulder she.</t>
  </si>
  <si>
    <t>1527.59</t>
  </si>
  <si>
    <t>Year him thank trade.</t>
  </si>
  <si>
    <t>1691.86</t>
  </si>
  <si>
    <t>Radio product.</t>
  </si>
  <si>
    <t>1221.9</t>
  </si>
  <si>
    <t>President girl condition.</t>
  </si>
  <si>
    <t>67.62</t>
  </si>
  <si>
    <t>More road development about.</t>
  </si>
  <si>
    <t>1843.86</t>
  </si>
  <si>
    <t>Leg rest interest.</t>
  </si>
  <si>
    <t>1741.03</t>
  </si>
  <si>
    <t>Easy get every.</t>
  </si>
  <si>
    <t>148.47</t>
  </si>
  <si>
    <t>Special information.</t>
  </si>
  <si>
    <t>192.6</t>
  </si>
  <si>
    <t>Deal beyond almost.</t>
  </si>
  <si>
    <t>845.47</t>
  </si>
  <si>
    <t>Scientist i doctor.</t>
  </si>
  <si>
    <t>630.16</t>
  </si>
  <si>
    <t>Cell year.</t>
  </si>
  <si>
    <t>1767.85</t>
  </si>
  <si>
    <t>Five our pull fly few.</t>
  </si>
  <si>
    <t>1168.0</t>
  </si>
  <si>
    <t>Determine feel article we they.</t>
  </si>
  <si>
    <t>976.47</t>
  </si>
  <si>
    <t>Quickly new another general poor.</t>
  </si>
  <si>
    <t>438.98</t>
  </si>
  <si>
    <t>Five indicate chance heavy senior.</t>
  </si>
  <si>
    <t>865.53</t>
  </si>
  <si>
    <t>Support feeling remain.</t>
  </si>
  <si>
    <t>1058.6</t>
  </si>
  <si>
    <t>None whose.</t>
  </si>
  <si>
    <t>796.57</t>
  </si>
  <si>
    <t>Care drug data position two.</t>
  </si>
  <si>
    <t>416.8</t>
  </si>
  <si>
    <t>Movie stop.</t>
  </si>
  <si>
    <t>1530.68</t>
  </si>
  <si>
    <t>Help painting always.</t>
  </si>
  <si>
    <t>25.38</t>
  </si>
  <si>
    <t>Source onto provide.</t>
  </si>
  <si>
    <t>267.08</t>
  </si>
  <si>
    <t>Decade trade field training.</t>
  </si>
  <si>
    <t>1005.52</t>
  </si>
  <si>
    <t>While bring yourself.</t>
  </si>
  <si>
    <t>153.43</t>
  </si>
  <si>
    <t>Receive region however.</t>
  </si>
  <si>
    <t>878.08</t>
  </si>
  <si>
    <t>Focus executive letter possible final.</t>
  </si>
  <si>
    <t>1725.6</t>
  </si>
  <si>
    <t>Third letter sort reveal seven.</t>
  </si>
  <si>
    <t>1421.9</t>
  </si>
  <si>
    <t>Have including none.</t>
  </si>
  <si>
    <t>816.01</t>
  </si>
  <si>
    <t>Administration network once.</t>
  </si>
  <si>
    <t>1604.63</t>
  </si>
  <si>
    <t>Charge form here.</t>
  </si>
  <si>
    <t>185.38</t>
  </si>
  <si>
    <t>Nearly want front shake.</t>
  </si>
  <si>
    <t>877.0</t>
  </si>
  <si>
    <t>Leave run goal cause.</t>
  </si>
  <si>
    <t>797.58</t>
  </si>
  <si>
    <t>Contain threat wrong whatever.</t>
  </si>
  <si>
    <t>450.93</t>
  </si>
  <si>
    <t>Stuff avoid.</t>
  </si>
  <si>
    <t>1025.86</t>
  </si>
  <si>
    <t>Include successful.</t>
  </si>
  <si>
    <t>3362.0</t>
  </si>
  <si>
    <t>Religious across.</t>
  </si>
  <si>
    <t>480.18</t>
  </si>
  <si>
    <t>Health pay project pattern.</t>
  </si>
  <si>
    <t>1921.0</t>
  </si>
  <si>
    <t>Administration mother in admit.</t>
  </si>
  <si>
    <t>362.52</t>
  </si>
  <si>
    <t>Within admit spend purpose south.</t>
  </si>
  <si>
    <t>933.27</t>
  </si>
  <si>
    <t>Truth modern.</t>
  </si>
  <si>
    <t>1365.46</t>
  </si>
  <si>
    <t>People education great.</t>
  </si>
  <si>
    <t>1729.85</t>
  </si>
  <si>
    <t>Health image.</t>
  </si>
  <si>
    <t>885.13</t>
  </si>
  <si>
    <t>Wrong difficult range.</t>
  </si>
  <si>
    <t>1594.7</t>
  </si>
  <si>
    <t>Behavior here.</t>
  </si>
  <si>
    <t>1019.6</t>
  </si>
  <si>
    <t>Argue act commercial matter.</t>
  </si>
  <si>
    <t>84.84</t>
  </si>
  <si>
    <t>Not teach believe month.</t>
  </si>
  <si>
    <t>162.69</t>
  </si>
  <si>
    <t>Deep test thought.</t>
  </si>
  <si>
    <t>1233.87</t>
  </si>
  <si>
    <t>Another avoid understand.</t>
  </si>
  <si>
    <t>1164.86</t>
  </si>
  <si>
    <t>Probably conference sure administration debate.</t>
  </si>
  <si>
    <t>904.97</t>
  </si>
  <si>
    <t>Up federal nor note.</t>
  </si>
  <si>
    <t>649.84</t>
  </si>
  <si>
    <t>Forward sense cause write right.</t>
  </si>
  <si>
    <t>1915.87</t>
  </si>
  <si>
    <t>Approach join stuff future.</t>
  </si>
  <si>
    <t>1964.95</t>
  </si>
  <si>
    <t>Ahead event yeah make.</t>
  </si>
  <si>
    <t>820.0</t>
  </si>
  <si>
    <t>Wait it quickly produce beat.</t>
  </si>
  <si>
    <t>1982.06</t>
  </si>
  <si>
    <t>Require bank child.</t>
  </si>
  <si>
    <t>734.16</t>
  </si>
  <si>
    <t>First blood accept final.</t>
  </si>
  <si>
    <t>823.45</t>
  </si>
  <si>
    <t>Bill beautiful issue.</t>
  </si>
  <si>
    <t>1580.56</t>
  </si>
  <si>
    <t>Mention billion bed never others.</t>
  </si>
  <si>
    <t>666.08</t>
  </si>
  <si>
    <t>Activity including single right.</t>
  </si>
  <si>
    <t>575.45</t>
  </si>
  <si>
    <t>Occur college herself.</t>
  </si>
  <si>
    <t>673.39</t>
  </si>
  <si>
    <t>Feeling manage as.</t>
  </si>
  <si>
    <t>1834.33</t>
  </si>
  <si>
    <t>Inside machine baby.</t>
  </si>
  <si>
    <t>266.61</t>
  </si>
  <si>
    <t>Result many pattern.</t>
  </si>
  <si>
    <t>626.07</t>
  </si>
  <si>
    <t>Career according.</t>
  </si>
  <si>
    <t>1628.24</t>
  </si>
  <si>
    <t>Success here television key.</t>
  </si>
  <si>
    <t>1295.59</t>
  </si>
  <si>
    <t>Carry fly water cut fire.</t>
  </si>
  <si>
    <t>46.28</t>
  </si>
  <si>
    <t>Fact reason make office.</t>
  </si>
  <si>
    <t>690.05</t>
  </si>
  <si>
    <t>Heavy staff hotel box.</t>
  </si>
  <si>
    <t>460.82</t>
  </si>
  <si>
    <t>Or nation race.</t>
  </si>
  <si>
    <t>2923.0</t>
  </si>
  <si>
    <t>Well left.</t>
  </si>
  <si>
    <t>1020.3</t>
  </si>
  <si>
    <t>Something story attorney summer.</t>
  </si>
  <si>
    <t>1327.24</t>
  </si>
  <si>
    <t>Cause field education child.</t>
  </si>
  <si>
    <t>1198.52</t>
  </si>
  <si>
    <t>Available wrong look husband.</t>
  </si>
  <si>
    <t>1856.0</t>
  </si>
  <si>
    <t>Myself so growth time.</t>
  </si>
  <si>
    <t>827.61</t>
  </si>
  <si>
    <t>Point be shoulder price great.</t>
  </si>
  <si>
    <t>1939.48</t>
  </si>
  <si>
    <t>Worker quality hundred sell whole.</t>
  </si>
  <si>
    <t>475.67</t>
  </si>
  <si>
    <t>Action else.</t>
  </si>
  <si>
    <t>1808.91</t>
  </si>
  <si>
    <t>Newspaper reach determine hear leg.</t>
  </si>
  <si>
    <t>4282.0</t>
  </si>
  <si>
    <t>General agency bit.</t>
  </si>
  <si>
    <t>1010.78</t>
  </si>
  <si>
    <t>Break wait.</t>
  </si>
  <si>
    <t>1635.61</t>
  </si>
  <si>
    <t>Find lay deal lot.</t>
  </si>
  <si>
    <t>1747.27</t>
  </si>
  <si>
    <t>Just recent.</t>
  </si>
  <si>
    <t>3540.0</t>
  </si>
  <si>
    <t>Feel special.</t>
  </si>
  <si>
    <t>1425.69</t>
  </si>
  <si>
    <t>Support possible.</t>
  </si>
  <si>
    <t>577.28</t>
  </si>
  <si>
    <t>Might necessary former.</t>
  </si>
  <si>
    <t>904.15</t>
  </si>
  <si>
    <t>Discussion if continue policy.</t>
  </si>
  <si>
    <t>192.51</t>
  </si>
  <si>
    <t>Ahead pass culture or.</t>
  </si>
  <si>
    <t>1770.41</t>
  </si>
  <si>
    <t>Relate day.</t>
  </si>
  <si>
    <t>115.98</t>
  </si>
  <si>
    <t>Big the cost for leader.</t>
  </si>
  <si>
    <t>778.47</t>
  </si>
  <si>
    <t>Month police others particularly.</t>
  </si>
  <si>
    <t>730.0</t>
  </si>
  <si>
    <t>Girl suddenly.</t>
  </si>
  <si>
    <t>1679.96</t>
  </si>
  <si>
    <t>Try opportunity public.</t>
  </si>
  <si>
    <t>283.82</t>
  </si>
  <si>
    <t>Draw bring health.</t>
  </si>
  <si>
    <t>1395.18</t>
  </si>
  <si>
    <t>Home others offer institution main.</t>
  </si>
  <si>
    <t>4174.0</t>
  </si>
  <si>
    <t>Never majority cell.</t>
  </si>
  <si>
    <t>47.82</t>
  </si>
  <si>
    <t>People tend weight machine.</t>
  </si>
  <si>
    <t>1102.12</t>
  </si>
  <si>
    <t>White measure manager range.</t>
  </si>
  <si>
    <t>231.26</t>
  </si>
  <si>
    <t>Major bar air set.</t>
  </si>
  <si>
    <t>252.48</t>
  </si>
  <si>
    <t>Ever mrs.</t>
  </si>
  <si>
    <t>134.99</t>
  </si>
  <si>
    <t>Not significant manager member.</t>
  </si>
  <si>
    <t>1197.51</t>
  </si>
  <si>
    <t>Environmental myself.</t>
  </si>
  <si>
    <t>1676.0</t>
  </si>
  <si>
    <t>State among rest national wrong.</t>
  </si>
  <si>
    <t>1233.47</t>
  </si>
  <si>
    <t>Fear yourself last.</t>
  </si>
  <si>
    <t>382.75</t>
  </si>
  <si>
    <t>Keep yes.</t>
  </si>
  <si>
    <t>144.68</t>
  </si>
  <si>
    <t>Specific onto go.</t>
  </si>
  <si>
    <t>787.0</t>
  </si>
  <si>
    <t>Pattern size spend.</t>
  </si>
  <si>
    <t>1962.27</t>
  </si>
  <si>
    <t>Go exactly much food region.</t>
  </si>
  <si>
    <t>720.62</t>
  </si>
  <si>
    <t>Environment teach world quickly believe.</t>
  </si>
  <si>
    <t>1349.0</t>
  </si>
  <si>
    <t>Yeah term.</t>
  </si>
  <si>
    <t>275.49</t>
  </si>
  <si>
    <t>Economic represent stock.</t>
  </si>
  <si>
    <t>1628.88</t>
  </si>
  <si>
    <t>Central plan physical heart.</t>
  </si>
  <si>
    <t>4420.0</t>
  </si>
  <si>
    <t>Idea seek.</t>
  </si>
  <si>
    <t>135.57</t>
  </si>
  <si>
    <t>Wear force able similar.</t>
  </si>
  <si>
    <t>83.6</t>
  </si>
  <si>
    <t>Play recently sure somebody.</t>
  </si>
  <si>
    <t>1772.72</t>
  </si>
  <si>
    <t>Why station manager.</t>
  </si>
  <si>
    <t>1035.61</t>
  </si>
  <si>
    <t>Front official not.</t>
  </si>
  <si>
    <t>514.09</t>
  </si>
  <si>
    <t>Thus several animal phone.</t>
  </si>
  <si>
    <t>579.36</t>
  </si>
  <si>
    <t>Buy tax.</t>
  </si>
  <si>
    <t>1732.94</t>
  </si>
  <si>
    <t>A when dark read.</t>
  </si>
  <si>
    <t>1600.69</t>
  </si>
  <si>
    <t>City usually ever.</t>
  </si>
  <si>
    <t>1489.18</t>
  </si>
  <si>
    <t>Bar professor power.</t>
  </si>
  <si>
    <t>684.68</t>
  </si>
  <si>
    <t>Personal rise sense investment.</t>
  </si>
  <si>
    <t>3509.0</t>
  </si>
  <si>
    <t>Ability live.</t>
  </si>
  <si>
    <t>1604.28</t>
  </si>
  <si>
    <t>Difficult quite act receive stage.</t>
  </si>
  <si>
    <t>866.91</t>
  </si>
  <si>
    <t>Local director become.</t>
  </si>
  <si>
    <t>1095.49</t>
  </si>
  <si>
    <t>Finish thing.</t>
  </si>
  <si>
    <t>662.56</t>
  </si>
  <si>
    <t>Similar send card year.</t>
  </si>
  <si>
    <t>1209.22</t>
  </si>
  <si>
    <t>Most across.</t>
  </si>
  <si>
    <t>709.58</t>
  </si>
  <si>
    <t>Goal defense security turn.</t>
  </si>
  <si>
    <t>4063.0</t>
  </si>
  <si>
    <t>Beautiful beyond sell.</t>
  </si>
  <si>
    <t>159.33</t>
  </si>
  <si>
    <t>White fire cause everybody.</t>
  </si>
  <si>
    <t>1031.04</t>
  </si>
  <si>
    <t>Network outside parent.</t>
  </si>
  <si>
    <t>1906.05</t>
  </si>
  <si>
    <t>Day parent country.</t>
  </si>
  <si>
    <t>785.0</t>
  </si>
  <si>
    <t>Position six soldier.</t>
  </si>
  <si>
    <t>3500.0</t>
  </si>
  <si>
    <t>History drop point audience.</t>
  </si>
  <si>
    <t>1214.14</t>
  </si>
  <si>
    <t>Value car team nothing.</t>
  </si>
  <si>
    <t>750.31</t>
  </si>
  <si>
    <t>Raise several west side admit.</t>
  </si>
  <si>
    <t>1063.63</t>
  </si>
  <si>
    <t>Energy always.</t>
  </si>
  <si>
    <t>506.73</t>
  </si>
  <si>
    <t>Media pick may indeed.</t>
  </si>
  <si>
    <t>4588.0</t>
  </si>
  <si>
    <t>Policy mrs.</t>
  </si>
  <si>
    <t>530.94</t>
  </si>
  <si>
    <t>Base bad tv.</t>
  </si>
  <si>
    <t>437.0</t>
  </si>
  <si>
    <t>Force only shake power poor.</t>
  </si>
  <si>
    <t>408.35</t>
  </si>
  <si>
    <t>Role suffer around beat.</t>
  </si>
  <si>
    <t>4203.0</t>
  </si>
  <si>
    <t>Law participant.</t>
  </si>
  <si>
    <t>1219.0</t>
  </si>
  <si>
    <t>Budget remain reduce.</t>
  </si>
  <si>
    <t>1339.0</t>
  </si>
  <si>
    <t>Well mission situation result.</t>
  </si>
  <si>
    <t>1783.75</t>
  </si>
  <si>
    <t>Camera sit environmental though.</t>
  </si>
  <si>
    <t>1589.46</t>
  </si>
  <si>
    <t>Southern evening ask republican.</t>
  </si>
  <si>
    <t>1970.41</t>
  </si>
  <si>
    <t>Baby lawyer growth matter note.</t>
  </si>
  <si>
    <t>1582.84</t>
  </si>
  <si>
    <t>Effort bill off.</t>
  </si>
  <si>
    <t>4328.0</t>
  </si>
  <si>
    <t>Scientist able teach.</t>
  </si>
  <si>
    <t>1227.78</t>
  </si>
  <si>
    <t>Animal hair turn.</t>
  </si>
  <si>
    <t>3761.0</t>
  </si>
  <si>
    <t>Need trial.</t>
  </si>
  <si>
    <t>1056.13</t>
  </si>
  <si>
    <t>Focus indicate result.</t>
  </si>
  <si>
    <t>259.4</t>
  </si>
  <si>
    <t>Number budget.</t>
  </si>
  <si>
    <t>905.45</t>
  </si>
  <si>
    <t>Development middle animal.</t>
  </si>
  <si>
    <t>265.39</t>
  </si>
  <si>
    <t>Theory tend.</t>
  </si>
  <si>
    <t>1537.89</t>
  </si>
  <si>
    <t>Beat lead hard factor.</t>
  </si>
  <si>
    <t>1517.0</t>
  </si>
  <si>
    <t>Drug happy will young simply.</t>
  </si>
  <si>
    <t>337.67</t>
  </si>
  <si>
    <t>Character usually agency.</t>
  </si>
  <si>
    <t>698.59</t>
  </si>
  <si>
    <t>Player really act friend.</t>
  </si>
  <si>
    <t>1693.41</t>
  </si>
  <si>
    <t>Billion morning draw.</t>
  </si>
  <si>
    <t>259.09</t>
  </si>
  <si>
    <t>Win central.</t>
  </si>
  <si>
    <t>1010.12</t>
  </si>
  <si>
    <t>Analysis discuss.</t>
  </si>
  <si>
    <t>1902.0</t>
  </si>
  <si>
    <t>Red head window be.</t>
  </si>
  <si>
    <t>1686.63</t>
  </si>
  <si>
    <t>Card star avoid nothing.</t>
  </si>
  <si>
    <t>171.63</t>
  </si>
  <si>
    <t>Door end fire.</t>
  </si>
  <si>
    <t>1305.75</t>
  </si>
  <si>
    <t>Fish evening avoid dark.</t>
  </si>
  <si>
    <t>1240.04</t>
  </si>
  <si>
    <t>Choice clearly.</t>
  </si>
  <si>
    <t>2974.0</t>
  </si>
  <si>
    <t>Image movie who debate.</t>
  </si>
  <si>
    <t>601.89</t>
  </si>
  <si>
    <t>Enter build citizen rather.</t>
  </si>
  <si>
    <t>1794.0</t>
  </si>
  <si>
    <t>Structure foreign before.</t>
  </si>
  <si>
    <t>934.24</t>
  </si>
  <si>
    <t>How any federal star.</t>
  </si>
  <si>
    <t>632.04</t>
  </si>
  <si>
    <t>Weight take.</t>
  </si>
  <si>
    <t>1950.99</t>
  </si>
  <si>
    <t>Economic left sound cause activity.</t>
  </si>
  <si>
    <t>4718.0</t>
  </si>
  <si>
    <t>Cup hundred rather.</t>
  </si>
  <si>
    <t>491.06</t>
  </si>
  <si>
    <t>Only true avoid young cup.</t>
  </si>
  <si>
    <t>2530.0</t>
  </si>
  <si>
    <t>Begin suggest speak.</t>
  </si>
  <si>
    <t>2877.0</t>
  </si>
  <si>
    <t>Walk anything.</t>
  </si>
  <si>
    <t>504.06</t>
  </si>
  <si>
    <t>Start house ahead raise.</t>
  </si>
  <si>
    <t>1628.82</t>
  </si>
  <si>
    <t>Democrat cost evidence third.</t>
  </si>
  <si>
    <t>387.77</t>
  </si>
  <si>
    <t>People early far include nearly.</t>
  </si>
  <si>
    <t>4585.0</t>
  </si>
  <si>
    <t>Evidence case.</t>
  </si>
  <si>
    <t>56.12</t>
  </si>
  <si>
    <t>Eat yes myself affect him.</t>
  </si>
  <si>
    <t>1933.71</t>
  </si>
  <si>
    <t>Name machine tree maybe.</t>
  </si>
  <si>
    <t>106.83</t>
  </si>
  <si>
    <t>Conference five despite.</t>
  </si>
  <si>
    <t>578.64</t>
  </si>
  <si>
    <t>Speak line.</t>
  </si>
  <si>
    <t>4030.0</t>
  </si>
  <si>
    <t>Yourself wind beyond prevent entire.</t>
  </si>
  <si>
    <t>3496.0</t>
  </si>
  <si>
    <t>Offer work home.</t>
  </si>
  <si>
    <t>100.03</t>
  </si>
  <si>
    <t>Door fish scene.</t>
  </si>
  <si>
    <t>3469.0</t>
  </si>
  <si>
    <t>Agreement red way nor none.</t>
  </si>
  <si>
    <t>778.83</t>
  </si>
  <si>
    <t>My compare also argue.</t>
  </si>
  <si>
    <t>1652.37</t>
  </si>
  <si>
    <t>Money a.</t>
  </si>
  <si>
    <t>266.04</t>
  </si>
  <si>
    <t>Future concern sort.</t>
  </si>
  <si>
    <t>3277.0</t>
  </si>
  <si>
    <t>Against only.</t>
  </si>
  <si>
    <t>1512.38</t>
  </si>
  <si>
    <t>Suffer team.</t>
  </si>
  <si>
    <t>4596.0</t>
  </si>
  <si>
    <t>Relate product only from.</t>
  </si>
  <si>
    <t>1622.0</t>
  </si>
  <si>
    <t>Wish run join.</t>
  </si>
  <si>
    <t>1043.47</t>
  </si>
  <si>
    <t>Company why really up.</t>
  </si>
  <si>
    <t>3186.0</t>
  </si>
  <si>
    <t>Program sport her.</t>
  </si>
  <si>
    <t>333.38</t>
  </si>
  <si>
    <t>Concern ability reduce.</t>
  </si>
  <si>
    <t>1191.51</t>
  </si>
  <si>
    <t>Surface side nothing consider.</t>
  </si>
  <si>
    <t>1420.39</t>
  </si>
  <si>
    <t>Determine not view cell seat.</t>
  </si>
  <si>
    <t>743.03</t>
  </si>
  <si>
    <t>Word collection those become.</t>
  </si>
  <si>
    <t>1171.57</t>
  </si>
  <si>
    <t>Activity decide really go.</t>
  </si>
  <si>
    <t>1197.85</t>
  </si>
  <si>
    <t>Answer just.</t>
  </si>
  <si>
    <t>1445.59</t>
  </si>
  <si>
    <t>This manage her.</t>
  </si>
  <si>
    <t>1053.22</t>
  </si>
  <si>
    <t>Big look tell prepare.</t>
  </si>
  <si>
    <t>304.07</t>
  </si>
  <si>
    <t>Later son almost.</t>
  </si>
  <si>
    <t>1149.41</t>
  </si>
  <si>
    <t>End bit game thousand.</t>
  </si>
  <si>
    <t>47.69</t>
  </si>
  <si>
    <t>Natural together.</t>
  </si>
  <si>
    <t>831.79</t>
  </si>
  <si>
    <t>Order party lot all.</t>
  </si>
  <si>
    <t>1746.91</t>
  </si>
  <si>
    <t>Threat church big day couple.</t>
  </si>
  <si>
    <t>1414.49</t>
  </si>
  <si>
    <t>Enter example down anyone occur.</t>
  </si>
  <si>
    <t>1996.26</t>
  </si>
  <si>
    <t>Approach about because.</t>
  </si>
  <si>
    <t>634.37</t>
  </si>
  <si>
    <t>Best deal point.</t>
  </si>
  <si>
    <t>4975.0</t>
  </si>
  <si>
    <t>Such final however major.</t>
  </si>
  <si>
    <t>1224.05</t>
  </si>
  <si>
    <t>Politics hold.</t>
  </si>
  <si>
    <t>2785.0</t>
  </si>
  <si>
    <t>Hard knowledge enjoy let.</t>
  </si>
  <si>
    <t>1883.56</t>
  </si>
  <si>
    <t>Nor character recent.</t>
  </si>
  <si>
    <t>1412.75</t>
  </si>
  <si>
    <t>Property space.</t>
  </si>
  <si>
    <t>640.91</t>
  </si>
  <si>
    <t>Dinner article hit mission whole.</t>
  </si>
  <si>
    <t>582.7</t>
  </si>
  <si>
    <t>Think live bad total research.</t>
  </si>
  <si>
    <t>1792.56</t>
  </si>
  <si>
    <t>Too song quality per build.</t>
  </si>
  <si>
    <t>1909.67</t>
  </si>
  <si>
    <t>We cold deep.</t>
  </si>
  <si>
    <t>93.71</t>
  </si>
  <si>
    <t>Amount bad raise.</t>
  </si>
  <si>
    <t>699.26</t>
  </si>
  <si>
    <t>Challenge organization floor road southern.</t>
  </si>
  <si>
    <t>1497.2</t>
  </si>
  <si>
    <t>News need task mind.</t>
  </si>
  <si>
    <t>1866.72</t>
  </si>
  <si>
    <t>Onto site both change note.</t>
  </si>
  <si>
    <t>227.36</t>
  </si>
  <si>
    <t>Understand none.</t>
  </si>
  <si>
    <t>492.49</t>
  </si>
  <si>
    <t>Test they there.</t>
  </si>
  <si>
    <t>1279.51</t>
  </si>
  <si>
    <t>Pressure occur list common.</t>
  </si>
  <si>
    <t>3205.0</t>
  </si>
  <si>
    <t>Peace race i.</t>
  </si>
  <si>
    <t>1365.57</t>
  </si>
  <si>
    <t>Real any little environmental.</t>
  </si>
  <si>
    <t>3833.0</t>
  </si>
  <si>
    <t>Full soldier.</t>
  </si>
  <si>
    <t>960.12</t>
  </si>
  <si>
    <t>Successful teach range.</t>
  </si>
  <si>
    <t>3131.0</t>
  </si>
  <si>
    <t>Feel season similar.</t>
  </si>
  <si>
    <t>1816.79</t>
  </si>
  <si>
    <t>Rock painting become.</t>
  </si>
  <si>
    <t>4883.0</t>
  </si>
  <si>
    <t>Tree imagine machine.</t>
  </si>
  <si>
    <t>1827.33</t>
  </si>
  <si>
    <t>Start middle city find.</t>
  </si>
  <si>
    <t>797.0</t>
  </si>
  <si>
    <t>Career surface these ahead.</t>
  </si>
  <si>
    <t>1578.04</t>
  </si>
  <si>
    <t>Student economic lead.</t>
  </si>
  <si>
    <t>806.0</t>
  </si>
  <si>
    <t>Ever statement measure.</t>
  </si>
  <si>
    <t>3244.0</t>
  </si>
  <si>
    <t>Drop major.</t>
  </si>
  <si>
    <t>1779.63</t>
  </si>
  <si>
    <t>Whether listen necessary.</t>
  </si>
  <si>
    <t>2735.0</t>
  </si>
  <si>
    <t>Study else store.</t>
  </si>
  <si>
    <t>3208.0</t>
  </si>
  <si>
    <t>Agree anyone take.</t>
  </si>
  <si>
    <t>2607.0</t>
  </si>
  <si>
    <t>Positive question especially.</t>
  </si>
  <si>
    <t>1475.87</t>
  </si>
  <si>
    <t>After sister should across treatment.</t>
  </si>
  <si>
    <t>359.23</t>
  </si>
  <si>
    <t>Song difference part wall require.</t>
  </si>
  <si>
    <t>1655.71</t>
  </si>
  <si>
    <t>Time surface learn design.</t>
  </si>
  <si>
    <t>807.66</t>
  </si>
  <si>
    <t>Station however bill memory production.</t>
  </si>
  <si>
    <t>4411.0</t>
  </si>
  <si>
    <t>Positive participant fear blue as.</t>
  </si>
  <si>
    <t>23.59</t>
  </si>
  <si>
    <t>Technology end represent throughout.</t>
  </si>
  <si>
    <t>1509.98</t>
  </si>
  <si>
    <t>Change she tonight.</t>
  </si>
  <si>
    <t>1169.1</t>
  </si>
  <si>
    <t>Race return pretty young.</t>
  </si>
  <si>
    <t>1310.83</t>
  </si>
  <si>
    <t>Identify say on yes.</t>
  </si>
  <si>
    <t>1338.89</t>
  </si>
  <si>
    <t>Risk develop movement size.</t>
  </si>
  <si>
    <t>816.78</t>
  </si>
  <si>
    <t>Feel color price next.</t>
  </si>
  <si>
    <t>1383.68</t>
  </si>
  <si>
    <t>Likely scientist.</t>
  </si>
  <si>
    <t>741.41</t>
  </si>
  <si>
    <t>Water tonight pressure.</t>
  </si>
  <si>
    <t>961.58</t>
  </si>
  <si>
    <t>Development the inside thought.</t>
  </si>
  <si>
    <t>837.53</t>
  </si>
  <si>
    <t>One less brother.</t>
  </si>
  <si>
    <t>1517.13</t>
  </si>
  <si>
    <t>Oil per line create build.</t>
  </si>
  <si>
    <t>1526.1</t>
  </si>
  <si>
    <t>Fear approach take case customer.</t>
  </si>
  <si>
    <t>1055.76</t>
  </si>
  <si>
    <t>Throughout would century television congress.</t>
  </si>
  <si>
    <t>165.42</t>
  </si>
  <si>
    <t>Forward would finish around.</t>
  </si>
  <si>
    <t>1659.26</t>
  </si>
  <si>
    <t>Decide similar office.</t>
  </si>
  <si>
    <t>1149.68</t>
  </si>
  <si>
    <t>Size sister can its.</t>
  </si>
  <si>
    <t>4762.0</t>
  </si>
  <si>
    <t>Investment local above move.</t>
  </si>
  <si>
    <t>1436.67</t>
  </si>
  <si>
    <t>Throughout series.</t>
  </si>
  <si>
    <t>1619.3</t>
  </si>
  <si>
    <t>Adult above safe.</t>
  </si>
  <si>
    <t>919.03</t>
  </si>
  <si>
    <t>Fine bill me fill.</t>
  </si>
  <si>
    <t>3024.0</t>
  </si>
  <si>
    <t>Fear fact.</t>
  </si>
  <si>
    <t>516.37</t>
  </si>
  <si>
    <t>Model its rather card you.</t>
  </si>
  <si>
    <t>1098.0</t>
  </si>
  <si>
    <t>Seek close trade speech.</t>
  </si>
  <si>
    <t>1022.0</t>
  </si>
  <si>
    <t>Difference world deep.</t>
  </si>
  <si>
    <t>1869.82</t>
  </si>
  <si>
    <t>Mean but represent society heart.</t>
  </si>
  <si>
    <t>759.0</t>
  </si>
  <si>
    <t>Perhaps order answer blue structure.</t>
  </si>
  <si>
    <t>1540.25</t>
  </si>
  <si>
    <t>Indicate herself.</t>
  </si>
  <si>
    <t>755.18</t>
  </si>
  <si>
    <t>Listen check receive.</t>
  </si>
  <si>
    <t>1740.54</t>
  </si>
  <si>
    <t>Inside big minute.</t>
  </si>
  <si>
    <t>169.7</t>
  </si>
  <si>
    <t>Store bit responsibility brother.</t>
  </si>
  <si>
    <t>1310.53</t>
  </si>
  <si>
    <t>Marriage participant.</t>
  </si>
  <si>
    <t>1985.77</t>
  </si>
  <si>
    <t>Win group important civil nature.</t>
  </si>
  <si>
    <t>1458.44</t>
  </si>
  <si>
    <t>Former able public trade.</t>
  </si>
  <si>
    <t>1514.8</t>
  </si>
  <si>
    <t>Chance bed memory rich.</t>
  </si>
  <si>
    <t>1350.26</t>
  </si>
  <si>
    <t>Popular lead with.</t>
  </si>
  <si>
    <t>1648.49</t>
  </si>
  <si>
    <t>Anyone spend them system.</t>
  </si>
  <si>
    <t>318.69</t>
  </si>
  <si>
    <t>International break surface three.</t>
  </si>
  <si>
    <t>763.0</t>
  </si>
  <si>
    <t>Professional color group.</t>
  </si>
  <si>
    <t>1233.7</t>
  </si>
  <si>
    <t>Environmental run head garden box.</t>
  </si>
  <si>
    <t>488.93</t>
  </si>
  <si>
    <t>Even history surface son.</t>
  </si>
  <si>
    <t>4157.0</t>
  </si>
  <si>
    <t>Car risk.</t>
  </si>
  <si>
    <t>497.02</t>
  </si>
  <si>
    <t>Indeed opportunity.</t>
  </si>
  <si>
    <t>2419.0</t>
  </si>
  <si>
    <t>Consider here grow agreement.</t>
  </si>
  <si>
    <t>288.87</t>
  </si>
  <si>
    <t>Turn both in animal.</t>
  </si>
  <si>
    <t>1633.41</t>
  </si>
  <si>
    <t>Actually than modern season.</t>
  </si>
  <si>
    <t>1159.17</t>
  </si>
  <si>
    <t>Within prove full.</t>
  </si>
  <si>
    <t>481.44</t>
  </si>
  <si>
    <t>Believe product eat generation put.</t>
  </si>
  <si>
    <t>832.98</t>
  </si>
  <si>
    <t>Stuff next write.</t>
  </si>
  <si>
    <t>1255.73</t>
  </si>
  <si>
    <t>Poor church.</t>
  </si>
  <si>
    <t>103.3</t>
  </si>
  <si>
    <t>Thank avoid man drive.</t>
  </si>
  <si>
    <t>1573.75</t>
  </si>
  <si>
    <t>Medical nearly.</t>
  </si>
  <si>
    <t>822.44</t>
  </si>
  <si>
    <t>Stage bad know of.</t>
  </si>
  <si>
    <t>1511.29</t>
  </si>
  <si>
    <t>Language budget market president.</t>
  </si>
  <si>
    <t>608.47</t>
  </si>
  <si>
    <t>Include news a before.</t>
  </si>
  <si>
    <t>1830.33</t>
  </si>
  <si>
    <t>None pressure lay future stay.</t>
  </si>
  <si>
    <t>1119.0</t>
  </si>
  <si>
    <t>Forward should outside respond.</t>
  </si>
  <si>
    <t>2588.0</t>
  </si>
  <si>
    <t>Box service develop game.</t>
  </si>
  <si>
    <t>1845.23</t>
  </si>
  <si>
    <t>Miss reduce animal clearly cell.</t>
  </si>
  <si>
    <t>1075.91</t>
  </si>
  <si>
    <t>Effect cultural.</t>
  </si>
  <si>
    <t>544.24</t>
  </si>
  <si>
    <t>Democratic station course full.</t>
  </si>
  <si>
    <t>1748.5</t>
  </si>
  <si>
    <t>Unit study.</t>
  </si>
  <si>
    <t>4427.0</t>
  </si>
  <si>
    <t>Leader operation mean white.</t>
  </si>
  <si>
    <t>613.34</t>
  </si>
  <si>
    <t>Save network item one under.</t>
  </si>
  <si>
    <t>1874.95</t>
  </si>
  <si>
    <t>Community spring billion price paper.</t>
  </si>
  <si>
    <t>1496.29</t>
  </si>
  <si>
    <t>Thing industry participant realize.</t>
  </si>
  <si>
    <t>1394.3</t>
  </si>
  <si>
    <t>Huge garden family.</t>
  </si>
  <si>
    <t>1831.1</t>
  </si>
  <si>
    <t>Include record security.</t>
  </si>
  <si>
    <t>767.52</t>
  </si>
  <si>
    <t>Team republican very plan cut.</t>
  </si>
  <si>
    <t>623.76</t>
  </si>
  <si>
    <t>Tv car report window.</t>
  </si>
  <si>
    <t>937.35</t>
  </si>
  <si>
    <t>My pm report set.</t>
  </si>
  <si>
    <t>1525.64</t>
  </si>
  <si>
    <t>Old wall report purpose.</t>
  </si>
  <si>
    <t>747.7</t>
  </si>
  <si>
    <t>There institution actually.</t>
  </si>
  <si>
    <t>1485.09</t>
  </si>
  <si>
    <t>Herself apply.</t>
  </si>
  <si>
    <t>2918.0</t>
  </si>
  <si>
    <t>Environment size worker.</t>
  </si>
  <si>
    <t>2384.0</t>
  </si>
  <si>
    <t>Style real far.</t>
  </si>
  <si>
    <t>1003.61</t>
  </si>
  <si>
    <t>Grow laugh.</t>
  </si>
  <si>
    <t>522.08</t>
  </si>
  <si>
    <t>Score night down.</t>
  </si>
  <si>
    <t>927.05</t>
  </si>
  <si>
    <t>Unit hold.</t>
  </si>
  <si>
    <t>346.84</t>
  </si>
  <si>
    <t>Approach season data than team.</t>
  </si>
  <si>
    <t>376.26</t>
  </si>
  <si>
    <t>Treatment relate positive.</t>
  </si>
  <si>
    <t>1052.65</t>
  </si>
  <si>
    <t>Cultural right cover large work.</t>
  </si>
  <si>
    <t>1890.92</t>
  </si>
  <si>
    <t>While same budget.</t>
  </si>
  <si>
    <t>830.66</t>
  </si>
  <si>
    <t>Evidence enough claim suffer.</t>
  </si>
  <si>
    <t>145.26</t>
  </si>
  <si>
    <t>Letter visit always up.</t>
  </si>
  <si>
    <t>4642.0</t>
  </si>
  <si>
    <t>Past product make of group.</t>
  </si>
  <si>
    <t>1239.49</t>
  </si>
  <si>
    <t>Detail contain attention measure indeed.</t>
  </si>
  <si>
    <t>1321.98</t>
  </si>
  <si>
    <t>Begin determine degree forward.</t>
  </si>
  <si>
    <t>597.0</t>
  </si>
  <si>
    <t>Despite sell most.</t>
  </si>
  <si>
    <t>4888.0</t>
  </si>
  <si>
    <t>Boy generation.</t>
  </si>
  <si>
    <t>1009.41</t>
  </si>
  <si>
    <t>Truth during always those high.</t>
  </si>
  <si>
    <t>1614.27</t>
  </si>
  <si>
    <t>Either rich agency might.</t>
  </si>
  <si>
    <t>1836.92</t>
  </si>
  <si>
    <t>Sort knowledge analysis together court.</t>
  </si>
  <si>
    <t>391.94</t>
  </si>
  <si>
    <t>Way cold.</t>
  </si>
  <si>
    <t>541.98</t>
  </si>
  <si>
    <t>Account assume prove similar ten.</t>
  </si>
  <si>
    <t>1919.0</t>
  </si>
  <si>
    <t>Day stock.</t>
  </si>
  <si>
    <t>1980.56</t>
  </si>
  <si>
    <t>Section child.</t>
  </si>
  <si>
    <t>1310.93</t>
  </si>
  <si>
    <t>Also available concern edge.</t>
  </si>
  <si>
    <t>196.07</t>
  </si>
  <si>
    <t>Start treat imagine later identify.</t>
  </si>
  <si>
    <t>121.67</t>
  </si>
  <si>
    <t>Hope brother.</t>
  </si>
  <si>
    <t>1177.0</t>
  </si>
  <si>
    <t>As second animal summer group.</t>
  </si>
  <si>
    <t>1293.37</t>
  </si>
  <si>
    <t>Face rate.</t>
  </si>
  <si>
    <t>1790.63</t>
  </si>
  <si>
    <t>She join house.</t>
  </si>
  <si>
    <t>430.72</t>
  </si>
  <si>
    <t>Choose detail section someone.</t>
  </si>
  <si>
    <t>549.48</t>
  </si>
  <si>
    <t>Whether century quality.</t>
  </si>
  <si>
    <t>1799.63</t>
  </si>
  <si>
    <t>Network never.</t>
  </si>
  <si>
    <t>366.92</t>
  </si>
  <si>
    <t>Above others.</t>
  </si>
  <si>
    <t>1923.32</t>
  </si>
  <si>
    <t>Water fight security tough gas.</t>
  </si>
  <si>
    <t>1858.46</t>
  </si>
  <si>
    <t>Central contain pattern education boy.</t>
  </si>
  <si>
    <t>1137.72</t>
  </si>
  <si>
    <t>Surface usually.</t>
  </si>
  <si>
    <t>773.85</t>
  </si>
  <si>
    <t>Popular available public economy.</t>
  </si>
  <si>
    <t>1006.58</t>
  </si>
  <si>
    <t>Maintain former campaign pretty beyond.</t>
  </si>
  <si>
    <t>204.39</t>
  </si>
  <si>
    <t>Fish late pattern.</t>
  </si>
  <si>
    <t>687.78</t>
  </si>
  <si>
    <t>Charge note space when collection.</t>
  </si>
  <si>
    <t>1938.15</t>
  </si>
  <si>
    <t>Size republican political.</t>
  </si>
  <si>
    <t>1569.26</t>
  </si>
  <si>
    <t>Care run there leg.</t>
  </si>
  <si>
    <t>718.06</t>
  </si>
  <si>
    <t>Main board population.</t>
  </si>
  <si>
    <t>379.62</t>
  </si>
  <si>
    <t>Teach cause mrs.</t>
  </si>
  <si>
    <t>180.53</t>
  </si>
  <si>
    <t>Baby away affect medical all.</t>
  </si>
  <si>
    <t>1429.09</t>
  </si>
  <si>
    <t>If operation trade necessary myself.</t>
  </si>
  <si>
    <t>3612.0</t>
  </si>
  <si>
    <t>President chance hotel through.</t>
  </si>
  <si>
    <t>1481.91</t>
  </si>
  <si>
    <t>Let member however.</t>
  </si>
  <si>
    <t>192.13</t>
  </si>
  <si>
    <t>Production summer.</t>
  </si>
  <si>
    <t>726.24</t>
  </si>
  <si>
    <t>Cell city not not the.</t>
  </si>
  <si>
    <t>183.72</t>
  </si>
  <si>
    <t>Voice american seven discussion.</t>
  </si>
  <si>
    <t>215.55</t>
  </si>
  <si>
    <t>Doctor protect military social.</t>
  </si>
  <si>
    <t>3157.0</t>
  </si>
  <si>
    <t>Truth thing always possible.</t>
  </si>
  <si>
    <t>590.78</t>
  </si>
  <si>
    <t>Plant event score official now.</t>
  </si>
  <si>
    <t>1452.44</t>
  </si>
  <si>
    <t>Half president structure might.</t>
  </si>
  <si>
    <t>1148.2</t>
  </si>
  <si>
    <t>Might good test.</t>
  </si>
  <si>
    <t>1888.0</t>
  </si>
  <si>
    <t>Thought according think key.</t>
  </si>
  <si>
    <t>2698.0</t>
  </si>
  <si>
    <t>Method exactly.</t>
  </si>
  <si>
    <t>342.74</t>
  </si>
  <si>
    <t>Church own stage.</t>
  </si>
  <si>
    <t>973.62</t>
  </si>
  <si>
    <t>Specific result loss long.</t>
  </si>
  <si>
    <t>2520.0</t>
  </si>
  <si>
    <t>Claim street against amount of.</t>
  </si>
  <si>
    <t>1191.67</t>
  </si>
  <si>
    <t>Picture always occur.</t>
  </si>
  <si>
    <t>1609.0</t>
  </si>
  <si>
    <t>Election conference when.</t>
  </si>
  <si>
    <t>671.11</t>
  </si>
  <si>
    <t>These road.</t>
  </si>
  <si>
    <t>886.04</t>
  </si>
  <si>
    <t>Describe paper.</t>
  </si>
  <si>
    <t>607.87</t>
  </si>
  <si>
    <t>Color store over some.</t>
  </si>
  <si>
    <t>963.23</t>
  </si>
  <si>
    <t>Process enough right garden law.</t>
  </si>
  <si>
    <t>3114.0</t>
  </si>
  <si>
    <t>Her car admit.</t>
  </si>
  <si>
    <t>1935.85</t>
  </si>
  <si>
    <t>Range step painting concern.</t>
  </si>
  <si>
    <t>758.35</t>
  </si>
  <si>
    <t>Me brother lot candidate owner.</t>
  </si>
  <si>
    <t>736.38</t>
  </si>
  <si>
    <t>Miss have analysis morning.</t>
  </si>
  <si>
    <t>1188.53</t>
  </si>
  <si>
    <t>Smile high open scientist.</t>
  </si>
  <si>
    <t>1906.48</t>
  </si>
  <si>
    <t>International effort.</t>
  </si>
  <si>
    <t>882.53</t>
  </si>
  <si>
    <t>Exist theory.</t>
  </si>
  <si>
    <t>1639.74</t>
  </si>
  <si>
    <t>Country remember smile.</t>
  </si>
  <si>
    <t>1349.23</t>
  </si>
  <si>
    <t>Brother according pressure reach firm.</t>
  </si>
  <si>
    <t>2482.0</t>
  </si>
  <si>
    <t>Choice prepare.</t>
  </si>
  <si>
    <t>1433.32</t>
  </si>
  <si>
    <t>Talk interest hand.</t>
  </si>
  <si>
    <t>903.64</t>
  </si>
  <si>
    <t>Sense including six lot.</t>
  </si>
  <si>
    <t>1073.39</t>
  </si>
  <si>
    <t>Never effect fill general relationship.</t>
  </si>
  <si>
    <t>1091.85</t>
  </si>
  <si>
    <t>Security land record.</t>
  </si>
  <si>
    <t>1406.25</t>
  </si>
  <si>
    <t>Democrat hundred.</t>
  </si>
  <si>
    <t>227.65</t>
  </si>
  <si>
    <t>Pass range appear home player.</t>
  </si>
  <si>
    <t>341.01</t>
  </si>
  <si>
    <t>Likely outside because.</t>
  </si>
  <si>
    <t>1933.95</t>
  </si>
  <si>
    <t>He participant right.</t>
  </si>
  <si>
    <t>220.83</t>
  </si>
  <si>
    <t>Prevent expert white arm similar.</t>
  </si>
  <si>
    <t>4683.0</t>
  </si>
  <si>
    <t>Keep cut prevent sound.</t>
  </si>
  <si>
    <t>897.1</t>
  </si>
  <si>
    <t>Almost outside middle.</t>
  </si>
  <si>
    <t>696.49</t>
  </si>
  <si>
    <t>College already dream a church.</t>
  </si>
  <si>
    <t>2920.0</t>
  </si>
  <si>
    <t>Good house only military.</t>
  </si>
  <si>
    <t>240.98</t>
  </si>
  <si>
    <t>Near risk.</t>
  </si>
  <si>
    <t>703.17</t>
  </si>
  <si>
    <t>Give white everybody paper create.</t>
  </si>
  <si>
    <t>1047.02</t>
  </si>
  <si>
    <t>Above company media next me.</t>
  </si>
  <si>
    <t>881.95</t>
  </si>
  <si>
    <t>Sort what.</t>
  </si>
  <si>
    <t>143.68</t>
  </si>
  <si>
    <t>Economic kind help low during.</t>
  </si>
  <si>
    <t>685.0</t>
  </si>
  <si>
    <t>Race to television loss.</t>
  </si>
  <si>
    <t>1357.51</t>
  </si>
  <si>
    <t>Him small.</t>
  </si>
  <si>
    <t>4727.0</t>
  </si>
  <si>
    <t>Son include good.</t>
  </si>
  <si>
    <t>3211.0</t>
  </si>
  <si>
    <t>Red enjoy.</t>
  </si>
  <si>
    <t>471.39</t>
  </si>
  <si>
    <t>Human see.</t>
  </si>
  <si>
    <t>380.91</t>
  </si>
  <si>
    <t>Never condition.</t>
  </si>
  <si>
    <t>68.09</t>
  </si>
  <si>
    <t>Despite off consumer second.</t>
  </si>
  <si>
    <t>904.65</t>
  </si>
  <si>
    <t>Say dog drug enter.</t>
  </si>
  <si>
    <t>1412.42</t>
  </si>
  <si>
    <t>Strong student green.</t>
  </si>
  <si>
    <t>1158.92</t>
  </si>
  <si>
    <t>Turn put professional.</t>
  </si>
  <si>
    <t>737.93</t>
  </si>
  <si>
    <t>When summer he firm together.</t>
  </si>
  <si>
    <t>2649.0</t>
  </si>
  <si>
    <t>Make worker trouble.</t>
  </si>
  <si>
    <t>1060.15</t>
  </si>
  <si>
    <t>Develop office approach son.</t>
  </si>
  <si>
    <t>1226.5</t>
  </si>
  <si>
    <t>Allow girl team simply lead.</t>
  </si>
  <si>
    <t>710.45</t>
  </si>
  <si>
    <t>Least ready activity decision ok.</t>
  </si>
  <si>
    <t>1629.34</t>
  </si>
  <si>
    <t>Party employee nature down.</t>
  </si>
  <si>
    <t>1838.18</t>
  </si>
  <si>
    <t>Gas contain interest industry sell.</t>
  </si>
  <si>
    <t>633.24</t>
  </si>
  <si>
    <t>Evidence conference capital office.</t>
  </si>
  <si>
    <t>374.26</t>
  </si>
  <si>
    <t>Result sound.</t>
  </si>
  <si>
    <t>842.3</t>
  </si>
  <si>
    <t>Task cultural son school.</t>
  </si>
  <si>
    <t>3965.0</t>
  </si>
  <si>
    <t>Computer matter.</t>
  </si>
  <si>
    <t>1866.0</t>
  </si>
  <si>
    <t>Result size feel no nothing.</t>
  </si>
  <si>
    <t>382.33</t>
  </si>
  <si>
    <t>Real art.</t>
  </si>
  <si>
    <t>1732.39</t>
  </si>
  <si>
    <t>Stuff benefit seat employee.</t>
  </si>
  <si>
    <t>281.7</t>
  </si>
  <si>
    <t>Newspaper special general in go.</t>
  </si>
  <si>
    <t>824.18</t>
  </si>
  <si>
    <t>Office power company sister great.</t>
  </si>
  <si>
    <t>982.51</t>
  </si>
  <si>
    <t>Simple land bad party.</t>
  </si>
  <si>
    <t>2306.0</t>
  </si>
  <si>
    <t>What than political up instead.</t>
  </si>
  <si>
    <t>457.44</t>
  </si>
  <si>
    <t>Support author class direction.</t>
  </si>
  <si>
    <t>1135.64</t>
  </si>
  <si>
    <t>Report painting house.</t>
  </si>
  <si>
    <t>1103.96</t>
  </si>
  <si>
    <t>Security minute late cold.</t>
  </si>
  <si>
    <t>2694.0</t>
  </si>
  <si>
    <t>Road product wait.</t>
  </si>
  <si>
    <t>1088.67</t>
  </si>
  <si>
    <t>Cold billion as.</t>
  </si>
  <si>
    <t>1097.24</t>
  </si>
  <si>
    <t>Approach side model you billion.</t>
  </si>
  <si>
    <t>1474.62</t>
  </si>
  <si>
    <t>Pressure those.</t>
  </si>
  <si>
    <t>602.44</t>
  </si>
  <si>
    <t>Easy exist phone.</t>
  </si>
  <si>
    <t>533.0</t>
  </si>
  <si>
    <t>Stuff agreement professional team foot.</t>
  </si>
  <si>
    <t>883.75</t>
  </si>
  <si>
    <t>Window music evening know.</t>
  </si>
  <si>
    <t>427.66</t>
  </si>
  <si>
    <t>Opportunity lead see.</t>
  </si>
  <si>
    <t>1723.49</t>
  </si>
  <si>
    <t>Model police finally girl.</t>
  </si>
  <si>
    <t>340.3</t>
  </si>
  <si>
    <t>Source kind hand.</t>
  </si>
  <si>
    <t>2195.0</t>
  </si>
  <si>
    <t>Field a spring.</t>
  </si>
  <si>
    <t>1069.24</t>
  </si>
  <si>
    <t>Expert movement reach man.</t>
  </si>
  <si>
    <t>654.07</t>
  </si>
  <si>
    <t>Across involve fall.</t>
  </si>
  <si>
    <t>1149.74</t>
  </si>
  <si>
    <t>Nature country.</t>
  </si>
  <si>
    <t>279.82</t>
  </si>
  <si>
    <t>House clear say hope.</t>
  </si>
  <si>
    <t>1838.35</t>
  </si>
  <si>
    <t>Enjoy instead dream.</t>
  </si>
  <si>
    <t>1405.84</t>
  </si>
  <si>
    <t>Possible mother especially.</t>
  </si>
  <si>
    <t>3138.0</t>
  </si>
  <si>
    <t>Consumer face.</t>
  </si>
  <si>
    <t>984.02</t>
  </si>
  <si>
    <t>Laugh red man fly charge.</t>
  </si>
  <si>
    <t>1259.35</t>
  </si>
  <si>
    <t>Control bill.</t>
  </si>
  <si>
    <t>1270.92</t>
  </si>
  <si>
    <t>Resource road do.</t>
  </si>
  <si>
    <t>811.67</t>
  </si>
  <si>
    <t>Management game.</t>
  </si>
  <si>
    <t>914.84</t>
  </si>
  <si>
    <t>Your less social form.</t>
  </si>
  <si>
    <t>1739.13</t>
  </si>
  <si>
    <t>Entire hotel.</t>
  </si>
  <si>
    <t>1464.55</t>
  </si>
  <si>
    <t>Consider time economic high.</t>
  </si>
  <si>
    <t>1701.71</t>
  </si>
  <si>
    <t>Window research his.</t>
  </si>
  <si>
    <t>443.48</t>
  </si>
  <si>
    <t>Scene almost leave.</t>
  </si>
  <si>
    <t>994.48</t>
  </si>
  <si>
    <t>Program decade home which view.</t>
  </si>
  <si>
    <t>682.13</t>
  </si>
  <si>
    <t>Rock seat near business loss.</t>
  </si>
  <si>
    <t>1578.72</t>
  </si>
  <si>
    <t>Growth appear project.</t>
  </si>
  <si>
    <t>101.43</t>
  </si>
  <si>
    <t>Plan foot cold.</t>
  </si>
  <si>
    <t>42.4</t>
  </si>
  <si>
    <t>Build smile across among situation.</t>
  </si>
  <si>
    <t>888.16</t>
  </si>
  <si>
    <t>Choice side eat matter rather.</t>
  </si>
  <si>
    <t>2157.0</t>
  </si>
  <si>
    <t>Art green child movie blue.</t>
  </si>
  <si>
    <t>1765.47</t>
  </si>
  <si>
    <t>First next popular.</t>
  </si>
  <si>
    <t>195.75</t>
  </si>
  <si>
    <t>Run again help right.</t>
  </si>
  <si>
    <t>749.97</t>
  </si>
  <si>
    <t>Magazine join.</t>
  </si>
  <si>
    <t>113.06</t>
  </si>
  <si>
    <t>Recent couple cost girl run.</t>
  </si>
  <si>
    <t>864.17</t>
  </si>
  <si>
    <t>Trial never attention choice fast.</t>
  </si>
  <si>
    <t>508.0</t>
  </si>
  <si>
    <t>Happen a point here control.</t>
  </si>
  <si>
    <t>274.07</t>
  </si>
  <si>
    <t>Task simply draw return probably.</t>
  </si>
  <si>
    <t>28.48</t>
  </si>
  <si>
    <t>Couple raise she child.</t>
  </si>
  <si>
    <t>1976.43</t>
  </si>
  <si>
    <t>Important focus benefit probably.</t>
  </si>
  <si>
    <t>960.62</t>
  </si>
  <si>
    <t>Condition all blood.</t>
  </si>
  <si>
    <t>1464.22</t>
  </si>
  <si>
    <t>All politics.</t>
  </si>
  <si>
    <t>3511.0</t>
  </si>
  <si>
    <t>Moment red eight hand.</t>
  </si>
  <si>
    <t>771.61</t>
  </si>
  <si>
    <t>Us decade.</t>
  </si>
  <si>
    <t>1286.74</t>
  </si>
  <si>
    <t>Life police.</t>
  </si>
  <si>
    <t>1065.71</t>
  </si>
  <si>
    <t>Sea three state some around.</t>
  </si>
  <si>
    <t>4105.0</t>
  </si>
  <si>
    <t>American audience fight war whether.</t>
  </si>
  <si>
    <t>1259.88</t>
  </si>
  <si>
    <t>Rise mother.</t>
  </si>
  <si>
    <t>4124.0</t>
  </si>
  <si>
    <t>Moment eat personal.</t>
  </si>
  <si>
    <t>1794.22</t>
  </si>
  <si>
    <t>See indeed black police group.</t>
  </si>
  <si>
    <t>3645.0</t>
  </si>
  <si>
    <t>Third coach congress husband.</t>
  </si>
  <si>
    <t>635.86</t>
  </si>
  <si>
    <t>Move outside value.</t>
  </si>
  <si>
    <t>1190.0</t>
  </si>
  <si>
    <t>Yard foot he share issue.</t>
  </si>
  <si>
    <t>1560.15</t>
  </si>
  <si>
    <t>Drive nation heart nearly season.</t>
  </si>
  <si>
    <t>418.84</t>
  </si>
  <si>
    <t>Language however risk work.</t>
  </si>
  <si>
    <t>1498.21</t>
  </si>
  <si>
    <t>Career three according worker democrat.</t>
  </si>
  <si>
    <t>1569.77</t>
  </si>
  <si>
    <t>Sign wall.</t>
  </si>
  <si>
    <t>994.83</t>
  </si>
  <si>
    <t>Memory number occur behind leave.</t>
  </si>
  <si>
    <t>1081.0</t>
  </si>
  <si>
    <t>Enter threat economic.</t>
  </si>
  <si>
    <t>1973.9</t>
  </si>
  <si>
    <t>Begin hundred truth.</t>
  </si>
  <si>
    <t>779.81</t>
  </si>
  <si>
    <t>Society common stay ready.</t>
  </si>
  <si>
    <t>737.17</t>
  </si>
  <si>
    <t>Organization feel.</t>
  </si>
  <si>
    <t>1909.36</t>
  </si>
  <si>
    <t>Bad argue side girl.</t>
  </si>
  <si>
    <t>1178.85</t>
  </si>
  <si>
    <t>Us building side section.</t>
  </si>
  <si>
    <t>Him fight american music change.</t>
  </si>
  <si>
    <t>1018.16</t>
  </si>
  <si>
    <t>Check purpose young.</t>
  </si>
  <si>
    <t>852.91</t>
  </si>
  <si>
    <t>Offer bed it skill challenge.</t>
  </si>
  <si>
    <t>562.16</t>
  </si>
  <si>
    <t>Live seat.</t>
  </si>
  <si>
    <t>1948.88</t>
  </si>
  <si>
    <t>Energy huge its recently.</t>
  </si>
  <si>
    <t>3700.0</t>
  </si>
  <si>
    <t>Nice maintain present cultural.</t>
  </si>
  <si>
    <t>627.24</t>
  </si>
  <si>
    <t>Drug entire involve.</t>
  </si>
  <si>
    <t>125.23</t>
  </si>
  <si>
    <t>Both including.</t>
  </si>
  <si>
    <t>1450.0</t>
  </si>
  <si>
    <t>Couple general pretty show.</t>
  </si>
  <si>
    <t>625.49</t>
  </si>
  <si>
    <t>Pattern wrong kind certainly.</t>
  </si>
  <si>
    <t>247.69</t>
  </si>
  <si>
    <t>Current health serious.</t>
  </si>
  <si>
    <t>336.03</t>
  </si>
  <si>
    <t>Science drug.</t>
  </si>
  <si>
    <t>342.26</t>
  </si>
  <si>
    <t>Add really born.</t>
  </si>
  <si>
    <t>1467.0</t>
  </si>
  <si>
    <t>Age decade mrs data.</t>
  </si>
  <si>
    <t>676.67</t>
  </si>
  <si>
    <t>Nature performance yeah.</t>
  </si>
  <si>
    <t>533.27</t>
  </si>
  <si>
    <t>On professional analysis color.</t>
  </si>
  <si>
    <t>997.33</t>
  </si>
  <si>
    <t>Smile peace apply.</t>
  </si>
  <si>
    <t>1004.22</t>
  </si>
  <si>
    <t>Home even.</t>
  </si>
  <si>
    <t>323.05</t>
  </si>
  <si>
    <t>Affect test.</t>
  </si>
  <si>
    <t>464.52</t>
  </si>
  <si>
    <t>Woman meet report.</t>
  </si>
  <si>
    <t>1718.79</t>
  </si>
  <si>
    <t>Term mother cost may.</t>
  </si>
  <si>
    <t>4364.0</t>
  </si>
  <si>
    <t>Unit again easy morning four.</t>
  </si>
  <si>
    <t>366.13</t>
  </si>
  <si>
    <t>Adult range green.</t>
  </si>
  <si>
    <t>1110.2</t>
  </si>
  <si>
    <t>You without every.</t>
  </si>
  <si>
    <t>456.79</t>
  </si>
  <si>
    <t>Election hit yourself wrong want.</t>
  </si>
  <si>
    <t>549.8</t>
  </si>
  <si>
    <t>Charge today prevent.</t>
  </si>
  <si>
    <t>1478.0</t>
  </si>
  <si>
    <t>Minute question their rather.</t>
  </si>
  <si>
    <t>366.9</t>
  </si>
  <si>
    <t>Of interview fine.</t>
  </si>
  <si>
    <t>1908.62</t>
  </si>
  <si>
    <t>My deal catch must.</t>
  </si>
  <si>
    <t>2812.0</t>
  </si>
  <si>
    <t>Finally relate model.</t>
  </si>
  <si>
    <t>661.33</t>
  </si>
  <si>
    <t>Yet wish certain usually.</t>
  </si>
  <si>
    <t>744.15</t>
  </si>
  <si>
    <t>Attack mouth rest contain.</t>
  </si>
  <si>
    <t>1481.76</t>
  </si>
  <si>
    <t>She they.</t>
  </si>
  <si>
    <t>1187.46</t>
  </si>
  <si>
    <t>Field seat start pm.</t>
  </si>
  <si>
    <t>1467.6</t>
  </si>
  <si>
    <t>Single blood continue.</t>
  </si>
  <si>
    <t>309.63</t>
  </si>
  <si>
    <t>Note discuss discussion reach grow.</t>
  </si>
  <si>
    <t>473.67</t>
  </si>
  <si>
    <t>Maybe painting republican.</t>
  </si>
  <si>
    <t>1902.47</t>
  </si>
  <si>
    <t>System man case.</t>
  </si>
  <si>
    <t>3019.0</t>
  </si>
  <si>
    <t>Allow share address.</t>
  </si>
  <si>
    <t>3939.0</t>
  </si>
  <si>
    <t>Development provide dark daughter.</t>
  </si>
  <si>
    <t>1945.39</t>
  </si>
  <si>
    <t>Term majority foot leader.</t>
  </si>
  <si>
    <t>1262.0</t>
  </si>
  <si>
    <t>If among save herself.</t>
  </si>
  <si>
    <t>4757.0</t>
  </si>
  <si>
    <t>Particularly score order modern.</t>
  </si>
  <si>
    <t>922.33</t>
  </si>
  <si>
    <t>Body lead there there early.</t>
  </si>
  <si>
    <t>1015.8</t>
  </si>
  <si>
    <t>Worker always hold share.</t>
  </si>
  <si>
    <t>Fact huge fight.</t>
  </si>
  <si>
    <t>1328.26</t>
  </si>
  <si>
    <t>Coach family try ready.</t>
  </si>
  <si>
    <t>2638.0</t>
  </si>
  <si>
    <t>Stop later reveal both.</t>
  </si>
  <si>
    <t>1404.44</t>
  </si>
  <si>
    <t>Career including late condition opportunity.</t>
  </si>
  <si>
    <t>910.99</t>
  </si>
  <si>
    <t>Bed food possible represent.</t>
  </si>
  <si>
    <t>280.86</t>
  </si>
  <si>
    <t>Before relationship plant.</t>
  </si>
  <si>
    <t>319.27</t>
  </si>
  <si>
    <t>Religious risk window partner civil.</t>
  </si>
  <si>
    <t>3072.0</t>
  </si>
  <si>
    <t>Analysis color friend the.</t>
  </si>
  <si>
    <t>1929.62</t>
  </si>
  <si>
    <t>Than condition republican.</t>
  </si>
  <si>
    <t>932.06</t>
  </si>
  <si>
    <t>Finally shoulder land.</t>
  </si>
  <si>
    <t>323.65</t>
  </si>
  <si>
    <t>Together whether about.</t>
  </si>
  <si>
    <t>437.89</t>
  </si>
  <si>
    <t>Learn talk.</t>
  </si>
  <si>
    <t>191.51</t>
  </si>
  <si>
    <t>Part management.</t>
  </si>
  <si>
    <t>798.53</t>
  </si>
  <si>
    <t>Process law kind over according.</t>
  </si>
  <si>
    <t>2631.0</t>
  </si>
  <si>
    <t>People newspaper stay.</t>
  </si>
  <si>
    <t>71.85</t>
  </si>
  <si>
    <t>Challenge president already.</t>
  </si>
  <si>
    <t>1116.35</t>
  </si>
  <si>
    <t>Study fear turn any indicate.</t>
  </si>
  <si>
    <t>929.47</t>
  </si>
  <si>
    <t>Public particularly reality.</t>
  </si>
  <si>
    <t>251.69</t>
  </si>
  <si>
    <t>Concern lay often use behavior.</t>
  </si>
  <si>
    <t>1570.0</t>
  </si>
  <si>
    <t>Happy her attack interview.</t>
  </si>
  <si>
    <t>3549.0</t>
  </si>
  <si>
    <t>Fall care.</t>
  </si>
  <si>
    <t>1168.82</t>
  </si>
  <si>
    <t>Money modern receive partner.</t>
  </si>
  <si>
    <t>53.38</t>
  </si>
  <si>
    <t>Role pick would low read.</t>
  </si>
  <si>
    <t>1555.0</t>
  </si>
  <si>
    <t>Participant first moment yet.</t>
  </si>
  <si>
    <t>1503.0</t>
  </si>
  <si>
    <t>Pass market role.</t>
  </si>
  <si>
    <t>Space this discussion fact.</t>
  </si>
  <si>
    <t>3735.0</t>
  </si>
  <si>
    <t>Brother let.</t>
  </si>
  <si>
    <t>1369.59</t>
  </si>
  <si>
    <t>Son yourself increase.</t>
  </si>
  <si>
    <t>2033.0</t>
  </si>
  <si>
    <t>Night point action cut.</t>
  </si>
  <si>
    <t>1768.01</t>
  </si>
  <si>
    <t>So film media.</t>
  </si>
  <si>
    <t>2917.0</t>
  </si>
  <si>
    <t>Box four.</t>
  </si>
  <si>
    <t>131.35</t>
  </si>
  <si>
    <t>Pattern ahead compare form full.</t>
  </si>
  <si>
    <t>844.28</t>
  </si>
  <si>
    <t>Something population loss physical.</t>
  </si>
  <si>
    <t>1265.2</t>
  </si>
  <si>
    <t>Leg sport until argue.</t>
  </si>
  <si>
    <t>1978.91</t>
  </si>
  <si>
    <t>North question new.</t>
  </si>
  <si>
    <t>964.57</t>
  </si>
  <si>
    <t>Officer forward trouble.</t>
  </si>
  <si>
    <t>1826.23</t>
  </si>
  <si>
    <t>Wide exactly.</t>
  </si>
  <si>
    <t>548.17</t>
  </si>
  <si>
    <t>Worker phone success number.</t>
  </si>
  <si>
    <t>740.0</t>
  </si>
  <si>
    <t>Organization ten seem.</t>
  </si>
  <si>
    <t>126.6</t>
  </si>
  <si>
    <t>Even beautiful.</t>
  </si>
  <si>
    <t>1536.02</t>
  </si>
  <si>
    <t>Later week democratic few.</t>
  </si>
  <si>
    <t>209.27</t>
  </si>
  <si>
    <t>Size sing tree kitchen.</t>
  </si>
  <si>
    <t>1072.04</t>
  </si>
  <si>
    <t>Toward child future low.</t>
  </si>
  <si>
    <t>1530.46</t>
  </si>
  <si>
    <t>Simply century the.</t>
  </si>
  <si>
    <t>716.06</t>
  </si>
  <si>
    <t>Day already hold.</t>
  </si>
  <si>
    <t>360.44</t>
  </si>
  <si>
    <t>About usually.</t>
  </si>
  <si>
    <t>1828.82</t>
  </si>
  <si>
    <t>Level animal minute probably.</t>
  </si>
  <si>
    <t>1664.0</t>
  </si>
  <si>
    <t>Officer fine.</t>
  </si>
  <si>
    <t>1675.03</t>
  </si>
  <si>
    <t>Customer expert mother significant.</t>
  </si>
  <si>
    <t>1088.83</t>
  </si>
  <si>
    <t>Chance event address.</t>
  </si>
  <si>
    <t>1239.0</t>
  </si>
  <si>
    <t>Bill my near even wall.</t>
  </si>
  <si>
    <t>663.0</t>
  </si>
  <si>
    <t>Each author party full kitchen.</t>
  </si>
  <si>
    <t>670.15</t>
  </si>
  <si>
    <t>Likely push.</t>
  </si>
  <si>
    <t>688.11</t>
  </si>
  <si>
    <t>Approach interview condition other.</t>
  </si>
  <si>
    <t>987.0</t>
  </si>
  <si>
    <t>Green forward cup serve speak.</t>
  </si>
  <si>
    <t>1408.0</t>
  </si>
  <si>
    <t>Nothing behavior sort recognize.</t>
  </si>
  <si>
    <t>1921.51</t>
  </si>
  <si>
    <t>Financial popular short like.</t>
  </si>
  <si>
    <t>1176.17</t>
  </si>
  <si>
    <t>Technology pay tree.</t>
  </si>
  <si>
    <t>281.54</t>
  </si>
  <si>
    <t>Record professor small.</t>
  </si>
  <si>
    <t>4491.0</t>
  </si>
  <si>
    <t>Maintain assume both long.</t>
  </si>
  <si>
    <t>1417.29</t>
  </si>
  <si>
    <t>Should page camera.</t>
  </si>
  <si>
    <t>454.24</t>
  </si>
  <si>
    <t>Stage someone for power.</t>
  </si>
  <si>
    <t>762.98</t>
  </si>
  <si>
    <t>Leave opportunity draw during city.</t>
  </si>
  <si>
    <t>263.42</t>
  </si>
  <si>
    <t>At decade really issue.</t>
  </si>
  <si>
    <t>1703.01</t>
  </si>
  <si>
    <t>Skin name door production back.</t>
  </si>
  <si>
    <t>372.34</t>
  </si>
  <si>
    <t>Boy other foot best.</t>
  </si>
  <si>
    <t>1282.9</t>
  </si>
  <si>
    <t>Final image our.</t>
  </si>
  <si>
    <t>1652.0</t>
  </si>
  <si>
    <t>Management produce bed stage.</t>
  </si>
  <si>
    <t>483.61</t>
  </si>
  <si>
    <t>Serious produce.</t>
  </si>
  <si>
    <t>1276.01</t>
  </si>
  <si>
    <t>Factor past language day theory.</t>
  </si>
  <si>
    <t>898.79</t>
  </si>
  <si>
    <t>Some quickly truth view response.</t>
  </si>
  <si>
    <t>1389.42</t>
  </si>
  <si>
    <t>Old particularly.</t>
  </si>
  <si>
    <t>1443.62</t>
  </si>
  <si>
    <t>Summer system artist too.</t>
  </si>
  <si>
    <t>3937.0</t>
  </si>
  <si>
    <t>Reflect star.</t>
  </si>
  <si>
    <t>991.23</t>
  </si>
  <si>
    <t>Technology tend.</t>
  </si>
  <si>
    <t>211.84</t>
  </si>
  <si>
    <t>Reduce hour fish him.</t>
  </si>
  <si>
    <t>333.69</t>
  </si>
  <si>
    <t>Nation production little could.</t>
  </si>
  <si>
    <t>2915.0</t>
  </si>
  <si>
    <t>Style child young prove.</t>
  </si>
  <si>
    <t>1357.0</t>
  </si>
  <si>
    <t>Author administration.</t>
  </si>
  <si>
    <t>3575.0</t>
  </si>
  <si>
    <t>Window career case south.</t>
  </si>
  <si>
    <t>4981.0</t>
  </si>
  <si>
    <t>Us perhaps lawyer interest star.</t>
  </si>
  <si>
    <t>682.52</t>
  </si>
  <si>
    <t>Difficult interesting account marriage.</t>
  </si>
  <si>
    <t>1411.96</t>
  </si>
  <si>
    <t>Especially unit office almost.</t>
  </si>
  <si>
    <t>1218.56</t>
  </si>
  <si>
    <t>Low happy oil which bag.</t>
  </si>
  <si>
    <t>211.5</t>
  </si>
  <si>
    <t>Let back three.</t>
  </si>
  <si>
    <t>824.47</t>
  </si>
  <si>
    <t>Line score whether.</t>
  </si>
  <si>
    <t>1324.59</t>
  </si>
  <si>
    <t>Something fine apply gas sing.</t>
  </si>
  <si>
    <t>108.77</t>
  </si>
  <si>
    <t>Mention light safe inside.</t>
  </si>
  <si>
    <t>315.64</t>
  </si>
  <si>
    <t>Cold reason our.</t>
  </si>
  <si>
    <t>184.38</t>
  </si>
  <si>
    <t>Employee picture official of prevent.</t>
  </si>
  <si>
    <t>407.35</t>
  </si>
  <si>
    <t>Agree machine camera baby six.</t>
  </si>
  <si>
    <t>2890.0</t>
  </si>
  <si>
    <t>Past every either.</t>
  </si>
  <si>
    <t>1689.1</t>
  </si>
  <si>
    <t>Company option character land space.</t>
  </si>
  <si>
    <t>947.18</t>
  </si>
  <si>
    <t>Machine son television.</t>
  </si>
  <si>
    <t>191.36</t>
  </si>
  <si>
    <t>Whose other.</t>
  </si>
  <si>
    <t>748.33</t>
  </si>
  <si>
    <t>Sell include himself produce.</t>
  </si>
  <si>
    <t>897.09</t>
  </si>
  <si>
    <t>Official success approach.</t>
  </si>
  <si>
    <t>534.17</t>
  </si>
  <si>
    <t>Apply less.</t>
  </si>
  <si>
    <t>310.75</t>
  </si>
  <si>
    <t>Live way two.</t>
  </si>
  <si>
    <t>180.56</t>
  </si>
  <si>
    <t>Raise hope enjoy most.</t>
  </si>
  <si>
    <t>1941.7</t>
  </si>
  <si>
    <t>Eye something.</t>
  </si>
  <si>
    <t>1683.19</t>
  </si>
  <si>
    <t>Which raise american truth.</t>
  </si>
  <si>
    <t>1931.6</t>
  </si>
  <si>
    <t>Particular present evening establish.</t>
  </si>
  <si>
    <t>1149.7</t>
  </si>
  <si>
    <t>Pressure hospital significant.</t>
  </si>
  <si>
    <t>167.12</t>
  </si>
  <si>
    <t>Side mind question year finish.</t>
  </si>
  <si>
    <t>1009.18</t>
  </si>
  <si>
    <t>Story activity.</t>
  </si>
  <si>
    <t>249.36</t>
  </si>
  <si>
    <t>Billion land detail exist cover.</t>
  </si>
  <si>
    <t>1898.63</t>
  </si>
  <si>
    <t>Begin voice prevent structure wear.</t>
  </si>
  <si>
    <t>2078.0</t>
  </si>
  <si>
    <t>Beat painting heavy.</t>
  </si>
  <si>
    <t>1141.0</t>
  </si>
  <si>
    <t>To receive education.</t>
  </si>
  <si>
    <t>411.82</t>
  </si>
  <si>
    <t>Police two.</t>
  </si>
  <si>
    <t>1669.88</t>
  </si>
  <si>
    <t>Realize property show either.</t>
  </si>
  <si>
    <t>183.18</t>
  </si>
  <si>
    <t>Since him four.</t>
  </si>
  <si>
    <t>1714.68</t>
  </si>
  <si>
    <t>Western enough key.</t>
  </si>
  <si>
    <t>1575.24</t>
  </si>
  <si>
    <t>Particular condition man.</t>
  </si>
  <si>
    <t>233.91</t>
  </si>
  <si>
    <t>Shoulder despite poor tree resource.</t>
  </si>
  <si>
    <t>1365.0</t>
  </si>
  <si>
    <t>Authority number.</t>
  </si>
  <si>
    <t>1573.63</t>
  </si>
  <si>
    <t>Affect marriage present a.</t>
  </si>
  <si>
    <t>1757.01</t>
  </si>
  <si>
    <t>Entire record toward off.</t>
  </si>
  <si>
    <t>1148.33</t>
  </si>
  <si>
    <t>Long identify road speech.</t>
  </si>
  <si>
    <t>558.07</t>
  </si>
  <si>
    <t>Difficult his ready sister building.</t>
  </si>
  <si>
    <t>817.0</t>
  </si>
  <si>
    <t>Four field area young.</t>
  </si>
  <si>
    <t>1384.12</t>
  </si>
  <si>
    <t>Movement which ball least.</t>
  </si>
  <si>
    <t>2700.0</t>
  </si>
  <si>
    <t>Computer always his.</t>
  </si>
  <si>
    <t>682.35</t>
  </si>
  <si>
    <t>Receive to piece.</t>
  </si>
  <si>
    <t>567.89</t>
  </si>
  <si>
    <t>Be plan same cause.</t>
  </si>
  <si>
    <t>1945.27</t>
  </si>
  <si>
    <t>Rest or.</t>
  </si>
  <si>
    <t>1948.7</t>
  </si>
  <si>
    <t>As music film move.</t>
  </si>
  <si>
    <t>546.15</t>
  </si>
  <si>
    <t>Already argue.</t>
  </si>
  <si>
    <t>383.99</t>
  </si>
  <si>
    <t>Brother southern project learn.</t>
  </si>
  <si>
    <t>1484.48</t>
  </si>
  <si>
    <t>Scientist do author.</t>
  </si>
  <si>
    <t>1643.82</t>
  </si>
  <si>
    <t>President likely truth animal.</t>
  </si>
  <si>
    <t>140.58</t>
  </si>
  <si>
    <t>Common anyone.</t>
  </si>
  <si>
    <t>279.94</t>
  </si>
  <si>
    <t>Lay color.</t>
  </si>
  <si>
    <t>355.74</t>
  </si>
  <si>
    <t>Box organization.</t>
  </si>
  <si>
    <t>1675.58</t>
  </si>
  <si>
    <t>Source international.</t>
  </si>
  <si>
    <t>110.61</t>
  </si>
  <si>
    <t>Building range national focus.</t>
  </si>
  <si>
    <t>555.22</t>
  </si>
  <si>
    <t>Or friend.</t>
  </si>
  <si>
    <t>1274.47</t>
  </si>
  <si>
    <t>Center indeed recent.</t>
  </si>
  <si>
    <t>2481.0</t>
  </si>
  <si>
    <t>Just understand american.</t>
  </si>
  <si>
    <t>363.39</t>
  </si>
  <si>
    <t>Partner sing administration main according.</t>
  </si>
  <si>
    <t>695.06</t>
  </si>
  <si>
    <t>Religious order.</t>
  </si>
  <si>
    <t>1500.43</t>
  </si>
  <si>
    <t>Really society live camera.</t>
  </si>
  <si>
    <t>64.63</t>
  </si>
  <si>
    <t>Mission include visit.</t>
  </si>
  <si>
    <t>2313.0</t>
  </si>
  <si>
    <t>Conference matter wear physical site.</t>
  </si>
  <si>
    <t>545.48</t>
  </si>
  <si>
    <t>Above dog brother morning.</t>
  </si>
  <si>
    <t>1730.61</t>
  </si>
  <si>
    <t>Gun seven music despite show.</t>
  </si>
  <si>
    <t>953.45</t>
  </si>
  <si>
    <t>Apply both chance.</t>
  </si>
  <si>
    <t>569.0</t>
  </si>
  <si>
    <t>Computer prove amount population.</t>
  </si>
  <si>
    <t>1428.35</t>
  </si>
  <si>
    <t>Itself free source.</t>
  </si>
  <si>
    <t>853.38</t>
  </si>
  <si>
    <t>Bit appear.</t>
  </si>
  <si>
    <t>923.41</t>
  </si>
  <si>
    <t>Citizen ahead method.</t>
  </si>
  <si>
    <t>1357.62</t>
  </si>
  <si>
    <t>Return or for.</t>
  </si>
  <si>
    <t>1173.13</t>
  </si>
  <si>
    <t>Discover body direction down.</t>
  </si>
  <si>
    <t>2815.0</t>
  </si>
  <si>
    <t>Heart determine likely.</t>
  </si>
  <si>
    <t>968.66</t>
  </si>
  <si>
    <t>Three certain.</t>
  </si>
  <si>
    <t>1284.78</t>
  </si>
  <si>
    <t>Hold carry rest.</t>
  </si>
  <si>
    <t>1315.68</t>
  </si>
  <si>
    <t>Dark camera realize.</t>
  </si>
  <si>
    <t>384.84</t>
  </si>
  <si>
    <t>Carry surface learn.</t>
  </si>
  <si>
    <t>1800.38</t>
  </si>
  <si>
    <t>Detail far church some.</t>
  </si>
  <si>
    <t>1324.46</t>
  </si>
  <si>
    <t>Wife talk beat tax majority.</t>
  </si>
  <si>
    <t>1314.25</t>
  </si>
  <si>
    <t>List leg address into their.</t>
  </si>
  <si>
    <t>1814.75</t>
  </si>
  <si>
    <t>Its develop until watch.</t>
  </si>
  <si>
    <t>1170.22</t>
  </si>
  <si>
    <t>Individual analysis.</t>
  </si>
  <si>
    <t>692.9</t>
  </si>
  <si>
    <t>Almost most look something.</t>
  </si>
  <si>
    <t>1813.99</t>
  </si>
  <si>
    <t>Manager bar send really.</t>
  </si>
  <si>
    <t>1692.38</t>
  </si>
  <si>
    <t>Car fast positive.</t>
  </si>
  <si>
    <t>594.63</t>
  </si>
  <si>
    <t>Look fight.</t>
  </si>
  <si>
    <t>1453.12</t>
  </si>
  <si>
    <t>Section agency lawyer sign them.</t>
  </si>
  <si>
    <t>1894.38</t>
  </si>
  <si>
    <t>Smile have less.</t>
  </si>
  <si>
    <t>452.28</t>
  </si>
  <si>
    <t>Audience throw four allow international.</t>
  </si>
  <si>
    <t>846.74</t>
  </si>
  <si>
    <t>My some skin ball thing.</t>
  </si>
  <si>
    <t>528.51</t>
  </si>
  <si>
    <t>War push thousand book half.</t>
  </si>
  <si>
    <t>946.37</t>
  </si>
  <si>
    <t>Hand possible relate night.</t>
  </si>
  <si>
    <t>949.72</t>
  </si>
  <si>
    <t>Wonder draw box.</t>
  </si>
  <si>
    <t>3626.0</t>
  </si>
  <si>
    <t>That reflect send set fly.</t>
  </si>
  <si>
    <t>117.58</t>
  </si>
  <si>
    <t>Quite everyone as generation.</t>
  </si>
  <si>
    <t>1984.77</t>
  </si>
  <si>
    <t>Money but report question.</t>
  </si>
  <si>
    <t>295.02</t>
  </si>
  <si>
    <t>Later happy pull.</t>
  </si>
  <si>
    <t>1560.09</t>
  </si>
  <si>
    <t>Throughout leader bag.</t>
  </si>
  <si>
    <t>633.69</t>
  </si>
  <si>
    <t>When baby clearly.</t>
  </si>
  <si>
    <t>2740.0</t>
  </si>
  <si>
    <t>Many themselves minute.</t>
  </si>
  <si>
    <t>1156.8</t>
  </si>
  <si>
    <t>Indicate radio use.</t>
  </si>
  <si>
    <t>1560.0</t>
  </si>
  <si>
    <t>Information scene again country.</t>
  </si>
  <si>
    <t>812.75</t>
  </si>
  <si>
    <t>Strong mind from.</t>
  </si>
  <si>
    <t>19.29</t>
  </si>
  <si>
    <t>Pretty skin main program.</t>
  </si>
  <si>
    <t>1900.64</t>
  </si>
  <si>
    <t>Knowledge fight car smile commercial.</t>
  </si>
  <si>
    <t>45.65</t>
  </si>
  <si>
    <t>Machine wife show.</t>
  </si>
  <si>
    <t>2353.0</t>
  </si>
  <si>
    <t>Good lay coach.</t>
  </si>
  <si>
    <t>631.06</t>
  </si>
  <si>
    <t>Expect win stuff realize project.</t>
  </si>
  <si>
    <t>1868.0</t>
  </si>
  <si>
    <t>Draw american first.</t>
  </si>
  <si>
    <t>2942.0</t>
  </si>
  <si>
    <t>Employee continue none alone.</t>
  </si>
  <si>
    <t>1458.39</t>
  </si>
  <si>
    <t>Challenge large wish move.</t>
  </si>
  <si>
    <t>872.99</t>
  </si>
  <si>
    <t>Identify material.</t>
  </si>
  <si>
    <t>692.04</t>
  </si>
  <si>
    <t>Until choose wife national.</t>
  </si>
  <si>
    <t>1502.73</t>
  </si>
  <si>
    <t>Positive far time wide.</t>
  </si>
  <si>
    <t>656.0</t>
  </si>
  <si>
    <t>Son rock two.</t>
  </si>
  <si>
    <t>430.27</t>
  </si>
  <si>
    <t>Rule too.</t>
  </si>
  <si>
    <t>1508.0</t>
  </si>
  <si>
    <t>Bring agent pay detail group.</t>
  </si>
  <si>
    <t>756.63</t>
  </si>
  <si>
    <t>Part crime.</t>
  </si>
  <si>
    <t>1191.91</t>
  </si>
  <si>
    <t>Sit short cultural.</t>
  </si>
  <si>
    <t>661.0</t>
  </si>
  <si>
    <t>Support quality whatever wish hour.</t>
  </si>
  <si>
    <t>3914.0</t>
  </si>
  <si>
    <t>Owner memory argue project.</t>
  </si>
  <si>
    <t>1099.09</t>
  </si>
  <si>
    <t>Respond into history.</t>
  </si>
  <si>
    <t>418.93</t>
  </si>
  <si>
    <t>General final knowledge.</t>
  </si>
  <si>
    <t>609.22</t>
  </si>
  <si>
    <t>Democratic thousand.</t>
  </si>
  <si>
    <t>1249.37</t>
  </si>
  <si>
    <t>Eye south wife interest.</t>
  </si>
  <si>
    <t>1663.0</t>
  </si>
  <si>
    <t>Structure our century.</t>
  </si>
  <si>
    <t>Write moment friend value.</t>
  </si>
  <si>
    <t>4577.0</t>
  </si>
  <si>
    <t>According police.</t>
  </si>
  <si>
    <t>2654.0</t>
  </si>
  <si>
    <t>Company left nothing trip.</t>
  </si>
  <si>
    <t>722.26</t>
  </si>
  <si>
    <t>Strategy face make.</t>
  </si>
  <si>
    <t>88.42</t>
  </si>
  <si>
    <t>Fight nice less agree able.</t>
  </si>
  <si>
    <t>1379.53</t>
  </si>
  <si>
    <t>What strong line.</t>
  </si>
  <si>
    <t>15.45</t>
  </si>
  <si>
    <t>Conference trade population agreement.</t>
  </si>
  <si>
    <t>1672.11</t>
  </si>
  <si>
    <t>Yes at seat ok.</t>
  </si>
  <si>
    <t>1899.4</t>
  </si>
  <si>
    <t>Than physical live reason.</t>
  </si>
  <si>
    <t>1449.89</t>
  </si>
  <si>
    <t>Mention offer suddenly clear.</t>
  </si>
  <si>
    <t>2393.0</t>
  </si>
  <si>
    <t>Floor there career.</t>
  </si>
  <si>
    <t>535.61</t>
  </si>
  <si>
    <t>Evening information.</t>
  </si>
  <si>
    <t>823.0</t>
  </si>
  <si>
    <t>Face morning.</t>
  </si>
  <si>
    <t>1605.18</t>
  </si>
  <si>
    <t>Create physical share out cold.</t>
  </si>
  <si>
    <t>199.05</t>
  </si>
  <si>
    <t>Step rate feeling rate.</t>
  </si>
  <si>
    <t>29.25</t>
  </si>
  <si>
    <t>Move goal.</t>
  </si>
  <si>
    <t>3192.0</t>
  </si>
  <si>
    <t>Carry example.</t>
  </si>
  <si>
    <t>1910.63</t>
  </si>
  <si>
    <t>Future treat bill choice.</t>
  </si>
  <si>
    <t>751.52</t>
  </si>
  <si>
    <t>Somebody next ready.</t>
  </si>
  <si>
    <t>807.55</t>
  </si>
  <si>
    <t>Republican reduce sort individual trouble.</t>
  </si>
  <si>
    <t>1673.06</t>
  </si>
  <si>
    <t>Type look find.</t>
  </si>
  <si>
    <t>1601.8</t>
  </si>
  <si>
    <t>Stage threat our.</t>
  </si>
  <si>
    <t>234.98</t>
  </si>
  <si>
    <t>Report agreement sport.</t>
  </si>
  <si>
    <t>1963.32</t>
  </si>
  <si>
    <t>Task central dinner.</t>
  </si>
  <si>
    <t>837.9</t>
  </si>
  <si>
    <t>Candidate bad real.</t>
  </si>
  <si>
    <t>370.71</t>
  </si>
  <si>
    <t>Affect machine.</t>
  </si>
  <si>
    <t>1226.6</t>
  </si>
  <si>
    <t>Cultural allow.</t>
  </si>
  <si>
    <t>971.33</t>
  </si>
  <si>
    <t>Arrive budget education at property.</t>
  </si>
  <si>
    <t>886.97</t>
  </si>
  <si>
    <t>Turn day top.</t>
  </si>
  <si>
    <t>601.0</t>
  </si>
  <si>
    <t>Ahead certainly second everyone.</t>
  </si>
  <si>
    <t>1956.01</t>
  </si>
  <si>
    <t>Goal talk sit party.</t>
  </si>
  <si>
    <t>1043.01</t>
  </si>
  <si>
    <t>Attention standard shake more respond.</t>
  </si>
  <si>
    <t>871.37</t>
  </si>
  <si>
    <t>Top mr wind.</t>
  </si>
  <si>
    <t>698.04</t>
  </si>
  <si>
    <t>Turn surface listen.</t>
  </si>
  <si>
    <t>305.82</t>
  </si>
  <si>
    <t>Pull blue strong wonder.</t>
  </si>
  <si>
    <t>33.17</t>
  </si>
  <si>
    <t>Method imagine seven.</t>
  </si>
  <si>
    <t>1705.22</t>
  </si>
  <si>
    <t>Letter mind many.</t>
  </si>
  <si>
    <t>1505.35</t>
  </si>
  <si>
    <t>News american foreign.</t>
  </si>
  <si>
    <t>1940.59</t>
  </si>
  <si>
    <t>Exist outside find wish.</t>
  </si>
  <si>
    <t>3601.0</t>
  </si>
  <si>
    <t>Network fact talk.</t>
  </si>
  <si>
    <t>166.87</t>
  </si>
  <si>
    <t>Thus sort.</t>
  </si>
  <si>
    <t>185.16</t>
  </si>
  <si>
    <t>Actually purpose public.</t>
  </si>
  <si>
    <t>246.23</t>
  </si>
  <si>
    <t>Mission put budget house.</t>
  </si>
  <si>
    <t>214.26</t>
  </si>
  <si>
    <t>Ask window full.</t>
  </si>
  <si>
    <t>1653.56</t>
  </si>
  <si>
    <t>Do interesting material.</t>
  </si>
  <si>
    <t>1781.32</t>
  </si>
  <si>
    <t>Event smile popular hundred live.</t>
  </si>
  <si>
    <t>1901.21</t>
  </si>
  <si>
    <t>Memory challenge lawyer business.</t>
  </si>
  <si>
    <t>1635.01</t>
  </si>
  <si>
    <t>Discuss wall ahead scene.</t>
  </si>
  <si>
    <t>1124.7</t>
  </si>
  <si>
    <t>Question will him quickly.</t>
  </si>
  <si>
    <t>1436.15</t>
  </si>
  <si>
    <t>Perform benefit baby.</t>
  </si>
  <si>
    <t>236.91</t>
  </si>
  <si>
    <t>Society dark product make.</t>
  </si>
  <si>
    <t>14.37</t>
  </si>
  <si>
    <t>Gas teacher national weight all.</t>
  </si>
  <si>
    <t>1099.9</t>
  </si>
  <si>
    <t>Himself fire heavy.</t>
  </si>
  <si>
    <t>101.1</t>
  </si>
  <si>
    <t>Allow news.</t>
  </si>
  <si>
    <t>3852.0</t>
  </si>
  <si>
    <t>Man care resource.</t>
  </si>
  <si>
    <t>2036.0</t>
  </si>
  <si>
    <t>Notice make.</t>
  </si>
  <si>
    <t>2266.0</t>
  </si>
  <si>
    <t>Occur live take media hot.</t>
  </si>
  <si>
    <t>1436.41</t>
  </si>
  <si>
    <t>Wife pay good within fly.</t>
  </si>
  <si>
    <t>880.0</t>
  </si>
  <si>
    <t>And student give score agree.</t>
  </si>
  <si>
    <t>1546.57</t>
  </si>
  <si>
    <t>Best generation group goal.</t>
  </si>
  <si>
    <t>1928.07</t>
  </si>
  <si>
    <t>Doctor fine be.</t>
  </si>
  <si>
    <t>4045.0</t>
  </si>
  <si>
    <t>Boy college mrs.</t>
  </si>
  <si>
    <t>1849.5</t>
  </si>
  <si>
    <t>Price institution method inside.</t>
  </si>
  <si>
    <t>1386.72</t>
  </si>
  <si>
    <t>Onto worry help hope.</t>
  </si>
  <si>
    <t>1348.0</t>
  </si>
  <si>
    <t>Space beyond.</t>
  </si>
  <si>
    <t>1013.18</t>
  </si>
  <si>
    <t>Market specific property coach.</t>
  </si>
  <si>
    <t>554.46</t>
  </si>
  <si>
    <t>Wide cut player wind.</t>
  </si>
  <si>
    <t>911.16</t>
  </si>
  <si>
    <t>Degree enter father of source.</t>
  </si>
  <si>
    <t>4696.0</t>
  </si>
  <si>
    <t>Behind front attack song little.</t>
  </si>
  <si>
    <t>1426.63</t>
  </si>
  <si>
    <t>Somebody prepare few sound.</t>
  </si>
  <si>
    <t>409.77</t>
  </si>
  <si>
    <t>Finish increase economy middle public.</t>
  </si>
  <si>
    <t>1376.36</t>
  </si>
  <si>
    <t>Thing physical might.</t>
  </si>
  <si>
    <t>1962.86</t>
  </si>
  <si>
    <t>Material produce station visit environmental.</t>
  </si>
  <si>
    <t>1012.75</t>
  </si>
  <si>
    <t>Table trade various risk art.</t>
  </si>
  <si>
    <t>1423.6</t>
  </si>
  <si>
    <t>Leg drive second she.</t>
  </si>
  <si>
    <t>1169.78</t>
  </si>
  <si>
    <t>Five store ask data.</t>
  </si>
  <si>
    <t>1351.74</t>
  </si>
  <si>
    <t>Statement position either.</t>
  </si>
  <si>
    <t>1756.18</t>
  </si>
  <si>
    <t>Draw change agree someone.</t>
  </si>
  <si>
    <t>1050.23</t>
  </si>
  <si>
    <t>Magazine yard instead town.</t>
  </si>
  <si>
    <t>934.0</t>
  </si>
  <si>
    <t>Evening ahead smile.</t>
  </si>
  <si>
    <t>541.29</t>
  </si>
  <si>
    <t>Compare system white magazine after.</t>
  </si>
  <si>
    <t>1369.95</t>
  </si>
  <si>
    <t>Own test too imagine.</t>
  </si>
  <si>
    <t>However style.</t>
  </si>
  <si>
    <t>723.78</t>
  </si>
  <si>
    <t>Born same usually.</t>
  </si>
  <si>
    <t>1487.4</t>
  </si>
  <si>
    <t>Wear use edge this draw.</t>
  </si>
  <si>
    <t>1026.74</t>
  </si>
  <si>
    <t>Forget once hope security.</t>
  </si>
  <si>
    <t>1388.94</t>
  </si>
  <si>
    <t>Design blood degree ever.</t>
  </si>
  <si>
    <t>3674.0</t>
  </si>
  <si>
    <t>Television argue mouth.</t>
  </si>
  <si>
    <t>1932.01</t>
  </si>
  <si>
    <t>Nation little east everyone.</t>
  </si>
  <si>
    <t>2163.0</t>
  </si>
  <si>
    <t>Little happy final population.</t>
  </si>
  <si>
    <t>1661.67</t>
  </si>
  <si>
    <t>Real small.</t>
  </si>
  <si>
    <t>1512.66</t>
  </si>
  <si>
    <t>Need finally when.</t>
  </si>
  <si>
    <t>1554.53</t>
  </si>
  <si>
    <t>Movement door kind.</t>
  </si>
  <si>
    <t>903.14</t>
  </si>
  <si>
    <t>Until truth feeling view.</t>
  </si>
  <si>
    <t>382.08</t>
  </si>
  <si>
    <t>Decision three trouble.</t>
  </si>
  <si>
    <t>3590.0</t>
  </si>
  <si>
    <t>Smile ever bag single.</t>
  </si>
  <si>
    <t>2664.0</t>
  </si>
  <si>
    <t>Say unit four institution.</t>
  </si>
  <si>
    <t>546.0</t>
  </si>
  <si>
    <t>Recognize media goal.</t>
  </si>
  <si>
    <t>89.48</t>
  </si>
  <si>
    <t>Law agree appear political.</t>
  </si>
  <si>
    <t>1549.59</t>
  </si>
  <si>
    <t>Able customer figure.</t>
  </si>
  <si>
    <t>986.2</t>
  </si>
  <si>
    <t>Book economic.</t>
  </si>
  <si>
    <t>155.03</t>
  </si>
  <si>
    <t>Rate society floor long same.</t>
  </si>
  <si>
    <t>1914.41</t>
  </si>
  <si>
    <t>Reach step son.</t>
  </si>
  <si>
    <t>837.7</t>
  </si>
  <si>
    <t>Increase consider.</t>
  </si>
  <si>
    <t>705.31</t>
  </si>
  <si>
    <t>Difference way type positive phone.</t>
  </si>
  <si>
    <t>668.82</t>
  </si>
  <si>
    <t>Cup red collection husband.</t>
  </si>
  <si>
    <t>1993.3</t>
  </si>
  <si>
    <t>Employee become happy water bring.</t>
  </si>
  <si>
    <t>238.3</t>
  </si>
  <si>
    <t>Significant up still management.</t>
  </si>
  <si>
    <t>1809.95</t>
  </si>
  <si>
    <t>Course technology site.</t>
  </si>
  <si>
    <t>1918.2</t>
  </si>
  <si>
    <t>High issue deal democratic.</t>
  </si>
  <si>
    <t>768.93</t>
  </si>
  <si>
    <t>Industry impact certainly.</t>
  </si>
  <si>
    <t>777.89</t>
  </si>
  <si>
    <t>Dog late eat.</t>
  </si>
  <si>
    <t>59.16</t>
  </si>
  <si>
    <t>Beat light the window.</t>
  </si>
  <si>
    <t>1033.48</t>
  </si>
  <si>
    <t>Require remain save.</t>
  </si>
  <si>
    <t>97.26</t>
  </si>
  <si>
    <t>Believe arrive.</t>
  </si>
  <si>
    <t>647.42</t>
  </si>
  <si>
    <t>Likely great paper.</t>
  </si>
  <si>
    <t>1871.0</t>
  </si>
  <si>
    <t>Effect people.</t>
  </si>
  <si>
    <t>1257.6</t>
  </si>
  <si>
    <t>Provide car throughout american.</t>
  </si>
  <si>
    <t>1731.25</t>
  </si>
  <si>
    <t>College manage fund.</t>
  </si>
  <si>
    <t>419.1</t>
  </si>
  <si>
    <t>Bed report item.</t>
  </si>
  <si>
    <t>1296.66</t>
  </si>
  <si>
    <t>Finish without.</t>
  </si>
  <si>
    <t>57.27</t>
  </si>
  <si>
    <t>Security unit executive.</t>
  </si>
  <si>
    <t>184.17</t>
  </si>
  <si>
    <t>Stop unit might job close.</t>
  </si>
  <si>
    <t>1077.0</t>
  </si>
  <si>
    <t>New type pm.</t>
  </si>
  <si>
    <t>1822.86</t>
  </si>
  <si>
    <t>Country approach.</t>
  </si>
  <si>
    <t>1264.13</t>
  </si>
  <si>
    <t>Like clear.</t>
  </si>
  <si>
    <t>785.11</t>
  </si>
  <si>
    <t>Break time manager kid.</t>
  </si>
  <si>
    <t>1018.0</t>
  </si>
  <si>
    <t>Leader both rest challenge.</t>
  </si>
  <si>
    <t>1404.76</t>
  </si>
  <si>
    <t>Data exist.</t>
  </si>
  <si>
    <t>2874.0</t>
  </si>
  <si>
    <t>State none production defense your.</t>
  </si>
  <si>
    <t>1217.07</t>
  </si>
  <si>
    <t>Short congress turn east marriage.</t>
  </si>
  <si>
    <t>769.01</t>
  </si>
  <si>
    <t>Ago race quite hour.</t>
  </si>
  <si>
    <t>953.24</t>
  </si>
  <si>
    <t>Child ball store process.</t>
  </si>
  <si>
    <t>1496.04</t>
  </si>
  <si>
    <t>Western order accept wide prevent.</t>
  </si>
  <si>
    <t>1920.67</t>
  </si>
  <si>
    <t>Water yourself trade someone.</t>
  </si>
  <si>
    <t>591.0</t>
  </si>
  <si>
    <t>Tell soon executive.</t>
  </si>
  <si>
    <t>255.24</t>
  </si>
  <si>
    <t>Natural own.</t>
  </si>
  <si>
    <t>4900.0</t>
  </si>
  <si>
    <t>Effort drive side human.</t>
  </si>
  <si>
    <t>616.34</t>
  </si>
  <si>
    <t>Clear single expect.</t>
  </si>
  <si>
    <t>431.36</t>
  </si>
  <si>
    <t>Fear song save.</t>
  </si>
  <si>
    <t>330.3</t>
  </si>
  <si>
    <t>Capital program story mention majority.</t>
  </si>
  <si>
    <t>396.71</t>
  </si>
  <si>
    <t>Environmental outside bed institution.</t>
  </si>
  <si>
    <t>4996.0</t>
  </si>
  <si>
    <t>Control piece behavior message wind.</t>
  </si>
  <si>
    <t>588.4</t>
  </si>
  <si>
    <t>Us money positive.</t>
  </si>
  <si>
    <t>2117.0</t>
  </si>
  <si>
    <t>Life bad soon.</t>
  </si>
  <si>
    <t>1903.56</t>
  </si>
  <si>
    <t>Worker range feel.</t>
  </si>
  <si>
    <t>209.09</t>
  </si>
  <si>
    <t>Into notice necessary true message.</t>
  </si>
  <si>
    <t>642.39</t>
  </si>
  <si>
    <t>Including let result spend.</t>
  </si>
  <si>
    <t>1389.98</t>
  </si>
  <si>
    <t>One shoulder administration.</t>
  </si>
  <si>
    <t>3091.0</t>
  </si>
  <si>
    <t>Skill successful and.</t>
  </si>
  <si>
    <t>19.62</t>
  </si>
  <si>
    <t>Finish right serious.</t>
  </si>
  <si>
    <t>1427.28</t>
  </si>
  <si>
    <t>Space game truth special decision.</t>
  </si>
  <si>
    <t>1681.82</t>
  </si>
  <si>
    <t>Else pull its adult house.</t>
  </si>
  <si>
    <t>4431.0</t>
  </si>
  <si>
    <t>Pretty least if.</t>
  </si>
  <si>
    <t>1551.79</t>
  </si>
  <si>
    <t>Peace wind guess.</t>
  </si>
  <si>
    <t>359.78</t>
  </si>
  <si>
    <t>Because career course.</t>
  </si>
  <si>
    <t>1718.84</t>
  </si>
  <si>
    <t>Teacher decide possible.</t>
  </si>
  <si>
    <t>2656.0</t>
  </si>
  <si>
    <t>Success teach mrs beat.</t>
  </si>
  <si>
    <t>1457.58</t>
  </si>
  <si>
    <t>Listen against coach.</t>
  </si>
  <si>
    <t>1627.16</t>
  </si>
  <si>
    <t>White likely teacher one.</t>
  </si>
  <si>
    <t>1813.54</t>
  </si>
  <si>
    <t>Notice street anything.</t>
  </si>
  <si>
    <t>1311.28</t>
  </si>
  <si>
    <t>Piece require.</t>
  </si>
  <si>
    <t>2329.0</t>
  </si>
  <si>
    <t>Say other never fact.</t>
  </si>
  <si>
    <t>276.42</t>
  </si>
  <si>
    <t>Main opportunity particularly question.</t>
  </si>
  <si>
    <t>799.6</t>
  </si>
  <si>
    <t>Research month instead.</t>
  </si>
  <si>
    <t>1697.48</t>
  </si>
  <si>
    <t>As throughout individual list manager.</t>
  </si>
  <si>
    <t>1516.84</t>
  </si>
  <si>
    <t>Recently again explain court.</t>
  </si>
  <si>
    <t>1967.0</t>
  </si>
  <si>
    <t>Discussion detail training fund.</t>
  </si>
  <si>
    <t>1474.48</t>
  </si>
  <si>
    <t>Third rich hospital.</t>
  </si>
  <si>
    <t>90.44</t>
  </si>
  <si>
    <t>Somebody son suddenly perform.</t>
  </si>
  <si>
    <t>135.09</t>
  </si>
  <si>
    <t>Project can.</t>
  </si>
  <si>
    <t>1340.49</t>
  </si>
  <si>
    <t>Paper beyond indeed.</t>
  </si>
  <si>
    <t>782.31</t>
  </si>
  <si>
    <t>Doctor news yourself.</t>
  </si>
  <si>
    <t>89.41</t>
  </si>
  <si>
    <t>Ground city still.</t>
  </si>
  <si>
    <t>1410.44</t>
  </si>
  <si>
    <t>Southern front.</t>
  </si>
  <si>
    <t>1671.4</t>
  </si>
  <si>
    <t>Dinner no main year size.</t>
  </si>
  <si>
    <t>759.55</t>
  </si>
  <si>
    <t>Environment character real middle prove.</t>
  </si>
  <si>
    <t>1038.16</t>
  </si>
  <si>
    <t>Sometimes while sense window.</t>
  </si>
  <si>
    <t>1037.58</t>
  </si>
  <si>
    <t>Among black picture that treat.</t>
  </si>
  <si>
    <t>978.85</t>
  </si>
  <si>
    <t>Remain seven marriage.</t>
  </si>
  <si>
    <t>1008.66</t>
  </si>
  <si>
    <t>Positive free case.</t>
  </si>
  <si>
    <t>Wide shoulder according strong.</t>
  </si>
  <si>
    <t>2232.0</t>
  </si>
  <si>
    <t>Expert commercial entire resource.</t>
  </si>
  <si>
    <t>3467.0</t>
  </si>
  <si>
    <t>Picture early send morning.</t>
  </si>
  <si>
    <t>1325.61</t>
  </si>
  <si>
    <t>Soon including important.</t>
  </si>
  <si>
    <t>1443.31</t>
  </si>
  <si>
    <t>Some gun ahead certainly act.</t>
  </si>
  <si>
    <t>963.25</t>
  </si>
  <si>
    <t>Be fire.</t>
  </si>
  <si>
    <t>54.67</t>
  </si>
  <si>
    <t>Article service produce political.</t>
  </si>
  <si>
    <t>1603.0</t>
  </si>
  <si>
    <t>Within woman.</t>
  </si>
  <si>
    <t>1782.69</t>
  </si>
  <si>
    <t>Information though red.</t>
  </si>
  <si>
    <t>2615.0</t>
  </si>
  <si>
    <t>Training account evidence month.</t>
  </si>
  <si>
    <t>1202.72</t>
  </si>
  <si>
    <t>Land day name small.</t>
  </si>
  <si>
    <t>1758.23</t>
  </si>
  <si>
    <t>Thought sit identify culture.</t>
  </si>
  <si>
    <t>1895.04</t>
  </si>
  <si>
    <t>Already free.</t>
  </si>
  <si>
    <t>1735.93</t>
  </si>
  <si>
    <t>Yeah exist behavior necessary miss.</t>
  </si>
  <si>
    <t>1669.0</t>
  </si>
  <si>
    <t>Agreement someone.</t>
  </si>
  <si>
    <t>1250.19</t>
  </si>
  <si>
    <t>Strategy fight institution.</t>
  </si>
  <si>
    <t>1451.13</t>
  </si>
  <si>
    <t>Rule success.</t>
  </si>
  <si>
    <t>1197.1</t>
  </si>
  <si>
    <t>Medical buy series walk large.</t>
  </si>
  <si>
    <t>3657.0</t>
  </si>
  <si>
    <t>Law work.</t>
  </si>
  <si>
    <t>Research visit program suddenly doctor.</t>
  </si>
  <si>
    <t>1654.76</t>
  </si>
  <si>
    <t>Project spring of.</t>
  </si>
  <si>
    <t>956.98</t>
  </si>
  <si>
    <t>Mind easy foreign old.</t>
  </si>
  <si>
    <t>1756.73</t>
  </si>
  <si>
    <t>Better republican stock bank.</t>
  </si>
  <si>
    <t>195.45</t>
  </si>
  <si>
    <t>Thousand live land hard.</t>
  </si>
  <si>
    <t>1794.97</t>
  </si>
  <si>
    <t>Open million house enough.</t>
  </si>
  <si>
    <t>1048.87</t>
  </si>
  <si>
    <t>You ready way rule.</t>
  </si>
  <si>
    <t>1398.31</t>
  </si>
  <si>
    <t>Certain camera represent.</t>
  </si>
  <si>
    <t>1581.22</t>
  </si>
  <si>
    <t>Tell brother defense list second.</t>
  </si>
  <si>
    <t>856.72</t>
  </si>
  <si>
    <t>Tv budget system book.</t>
  </si>
  <si>
    <t>1821.07</t>
  </si>
  <si>
    <t>Face mission brother figure hear.</t>
  </si>
  <si>
    <t>2611.0</t>
  </si>
  <si>
    <t>Agreement central six instead.</t>
  </si>
  <si>
    <t>4780.0</t>
  </si>
  <si>
    <t>Democratic standard major.</t>
  </si>
  <si>
    <t>3572.0</t>
  </si>
  <si>
    <t>Give that individual of not.</t>
  </si>
  <si>
    <t>823.6</t>
  </si>
  <si>
    <t>Little result paper seven.</t>
  </si>
  <si>
    <t>2577.0</t>
  </si>
  <si>
    <t>Seven project chance road.</t>
  </si>
  <si>
    <t>1133.69</t>
  </si>
  <si>
    <t>Professor important do house must.</t>
  </si>
  <si>
    <t>1512.39</t>
  </si>
  <si>
    <t>Position tend religious.</t>
  </si>
  <si>
    <t>365.65</t>
  </si>
  <si>
    <t>Someone religious night buy nice.</t>
  </si>
  <si>
    <t>515.02</t>
  </si>
  <si>
    <t>My serious whatever miss seek.</t>
  </si>
  <si>
    <t>1550.65</t>
  </si>
  <si>
    <t>Build view.</t>
  </si>
  <si>
    <t>1711.45</t>
  </si>
  <si>
    <t>Ever day.</t>
  </si>
  <si>
    <t>898.72</t>
  </si>
  <si>
    <t>Be move fly open.</t>
  </si>
  <si>
    <t>209.55</t>
  </si>
  <si>
    <t>Future congress.</t>
  </si>
  <si>
    <t>1603.7</t>
  </si>
  <si>
    <t>Fish either boy between collection.</t>
  </si>
  <si>
    <t>329.87</t>
  </si>
  <si>
    <t>Eight bed fill.</t>
  </si>
  <si>
    <t>1610.7</t>
  </si>
  <si>
    <t>Arrive which consider.</t>
  </si>
  <si>
    <t>1852.46</t>
  </si>
  <si>
    <t>Hope floor include.</t>
  </si>
  <si>
    <t>533.55</t>
  </si>
  <si>
    <t>Heart still building.</t>
  </si>
  <si>
    <t>1451.74</t>
  </si>
  <si>
    <t>Sell only manage.</t>
  </si>
  <si>
    <t>1231.79</t>
  </si>
  <si>
    <t>We especially five network.</t>
  </si>
  <si>
    <t>1891.97</t>
  </si>
  <si>
    <t>Ahead plant trial affect.</t>
  </si>
  <si>
    <t>883.55</t>
  </si>
  <si>
    <t>Push east never size fight.</t>
  </si>
  <si>
    <t>397.55</t>
  </si>
  <si>
    <t>Base player data whose.</t>
  </si>
  <si>
    <t>1234.23</t>
  </si>
  <si>
    <t>World site mr interest treatment.</t>
  </si>
  <si>
    <t>486.12</t>
  </si>
  <si>
    <t>A let.</t>
  </si>
  <si>
    <t>1211.0</t>
  </si>
  <si>
    <t>A value lot.</t>
  </si>
  <si>
    <t>712.72</t>
  </si>
  <si>
    <t>Yourself successful defense subject.</t>
  </si>
  <si>
    <t>1040.31</t>
  </si>
  <si>
    <t>Claim move.</t>
  </si>
  <si>
    <t>1839.16</t>
  </si>
  <si>
    <t>Bed recognize store.</t>
  </si>
  <si>
    <t>701.48</t>
  </si>
  <si>
    <t>There decision measure.</t>
  </si>
  <si>
    <t>1216.66</t>
  </si>
  <si>
    <t>Play woman remain event.</t>
  </si>
  <si>
    <t>538.0</t>
  </si>
  <si>
    <t>Decision where foreign trial.</t>
  </si>
  <si>
    <t>1017.41</t>
  </si>
  <si>
    <t>Participant above.</t>
  </si>
  <si>
    <t>686.53</t>
  </si>
  <si>
    <t>Including time reflect.</t>
  </si>
  <si>
    <t>4906.0</t>
  </si>
  <si>
    <t>Ball theory prepare much throughout.</t>
  </si>
  <si>
    <t>1391.44</t>
  </si>
  <si>
    <t>Good spend still.</t>
  </si>
  <si>
    <t>1542.23</t>
  </si>
  <si>
    <t>Concern should recent across.</t>
  </si>
  <si>
    <t>1366.37</t>
  </si>
  <si>
    <t>View know develop after.</t>
  </si>
  <si>
    <t>969.12</t>
  </si>
  <si>
    <t>Course staff personal space.</t>
  </si>
  <si>
    <t>1270.99</t>
  </si>
  <si>
    <t>Woman whose already.</t>
  </si>
  <si>
    <t>1602.32</t>
  </si>
  <si>
    <t>Decide cultural start how thank.</t>
  </si>
  <si>
    <t>1037.84</t>
  </si>
  <si>
    <t>Management necessary process not.</t>
  </si>
  <si>
    <t>2533.0</t>
  </si>
  <si>
    <t>Assume campaign assume.</t>
  </si>
  <si>
    <t>1350.66</t>
  </si>
  <si>
    <t>Talk thing rock ever summer.</t>
  </si>
  <si>
    <t>1113.56</t>
  </si>
  <si>
    <t>Pass quite third ability interview.</t>
  </si>
  <si>
    <t>3396.0</t>
  </si>
  <si>
    <t>Item yet ever quite.</t>
  </si>
  <si>
    <t>373.74</t>
  </si>
  <si>
    <t>Guess service this different.</t>
  </si>
  <si>
    <t>1003.01</t>
  </si>
  <si>
    <t>Mother first hot free.</t>
  </si>
  <si>
    <t>2674.0</t>
  </si>
  <si>
    <t>Wrong difficult.</t>
  </si>
  <si>
    <t>1671.53</t>
  </si>
  <si>
    <t>True culture.</t>
  </si>
  <si>
    <t>320.43</t>
  </si>
  <si>
    <t>As personal agreement.</t>
  </si>
  <si>
    <t>4535.0</t>
  </si>
  <si>
    <t>Or phone.</t>
  </si>
  <si>
    <t>1697.54</t>
  </si>
  <si>
    <t>East list when.</t>
  </si>
  <si>
    <t>989.76</t>
  </si>
  <si>
    <t>Mind door authority outside.</t>
  </si>
  <si>
    <t>986.7</t>
  </si>
  <si>
    <t>Personal often.</t>
  </si>
  <si>
    <t>801.78</t>
  </si>
  <si>
    <t>True help.</t>
  </si>
  <si>
    <t>117.75</t>
  </si>
  <si>
    <t>Artist sort area.</t>
  </si>
  <si>
    <t>1879.91</t>
  </si>
  <si>
    <t>Big argue.</t>
  </si>
  <si>
    <t>3725.0</t>
  </si>
  <si>
    <t>Sure i pay.</t>
  </si>
  <si>
    <t>919.82</t>
  </si>
  <si>
    <t>Ten skin perhaps.</t>
  </si>
  <si>
    <t>3085.0</t>
  </si>
  <si>
    <t>Less into per big.</t>
  </si>
  <si>
    <t>1351.47</t>
  </si>
  <si>
    <t>Military onto blue activity.</t>
  </si>
  <si>
    <t>657.62</t>
  </si>
  <si>
    <t>Smile cover of pm eight.</t>
  </si>
  <si>
    <t>382.43</t>
  </si>
  <si>
    <t>Right know during someone.</t>
  </si>
  <si>
    <t>947.98</t>
  </si>
  <si>
    <t>Find job where.</t>
  </si>
  <si>
    <t>375.99</t>
  </si>
  <si>
    <t>On must certainly.</t>
  </si>
  <si>
    <t>1404.42</t>
  </si>
  <si>
    <t>Owner fact wife.</t>
  </si>
  <si>
    <t>566.46</t>
  </si>
  <si>
    <t>Price certain down standard nice.</t>
  </si>
  <si>
    <t>2372.0</t>
  </si>
  <si>
    <t>Gas with policy cut.</t>
  </si>
  <si>
    <t>1610.13</t>
  </si>
  <si>
    <t>Country little reality level.</t>
  </si>
  <si>
    <t>400.17</t>
  </si>
  <si>
    <t>Not friend federal forget bit.</t>
  </si>
  <si>
    <t>951.24</t>
  </si>
  <si>
    <t>Detail about development discover.</t>
  </si>
  <si>
    <t>4592.0</t>
  </si>
  <si>
    <t>Lose shoulder spring.</t>
  </si>
  <si>
    <t>4486.0</t>
  </si>
  <si>
    <t>Hundred step according.</t>
  </si>
  <si>
    <t>802.82</t>
  </si>
  <si>
    <t>Group never.</t>
  </si>
  <si>
    <t>438.78</t>
  </si>
  <si>
    <t>Key place tree.</t>
  </si>
  <si>
    <t>905.21</t>
  </si>
  <si>
    <t>Wish current.</t>
  </si>
  <si>
    <t>727.01</t>
  </si>
  <si>
    <t>Despite energy company.</t>
  </si>
  <si>
    <t>694.84</t>
  </si>
  <si>
    <t>Condition again successful.</t>
  </si>
  <si>
    <t>1736.06</t>
  </si>
  <si>
    <t>Story case.</t>
  </si>
  <si>
    <t>1157.94</t>
  </si>
  <si>
    <t>Very figure drive special.</t>
  </si>
  <si>
    <t>1958.95</t>
  </si>
  <si>
    <t>With young think there assume.</t>
  </si>
  <si>
    <t>1349.65</t>
  </si>
  <si>
    <t>Some court her.</t>
  </si>
  <si>
    <t>1780.37</t>
  </si>
  <si>
    <t>Outside with each animal.</t>
  </si>
  <si>
    <t>932.87</t>
  </si>
  <si>
    <t>Take family chance.</t>
  </si>
  <si>
    <t>1284.76</t>
  </si>
  <si>
    <t>Picture evidence.</t>
  </si>
  <si>
    <t>1266.23</t>
  </si>
  <si>
    <t>Why though decide bank likely.</t>
  </si>
  <si>
    <t>167.43</t>
  </si>
  <si>
    <t>Meet seem population.</t>
  </si>
  <si>
    <t>640.59</t>
  </si>
  <si>
    <t>Material less focus hear.</t>
  </si>
  <si>
    <t>1214.72</t>
  </si>
  <si>
    <t>Listen ok point so.</t>
  </si>
  <si>
    <t>1564.14</t>
  </si>
  <si>
    <t>Detail data tell.</t>
  </si>
  <si>
    <t>833.84</t>
  </si>
  <si>
    <t>Fill thousand number.</t>
  </si>
  <si>
    <t>1524.0</t>
  </si>
  <si>
    <t>Nearly care base.</t>
  </si>
  <si>
    <t>1881.47</t>
  </si>
  <si>
    <t>Goal once let perform international.</t>
  </si>
  <si>
    <t>429.04</t>
  </si>
  <si>
    <t>Important source first him.</t>
  </si>
  <si>
    <t>136.95</t>
  </si>
  <si>
    <t>Doctor population grow bar.</t>
  </si>
  <si>
    <t>62.47</t>
  </si>
  <si>
    <t>National back everybody direction budget.</t>
  </si>
  <si>
    <t>216.82</t>
  </si>
  <si>
    <t>National free.</t>
  </si>
  <si>
    <t>1313.12</t>
  </si>
  <si>
    <t>Few spring raise.</t>
  </si>
  <si>
    <t>466.42</t>
  </si>
  <si>
    <t>Relationship your your.</t>
  </si>
  <si>
    <t>1256.7</t>
  </si>
  <si>
    <t>Across federal state.</t>
  </si>
  <si>
    <t>734.0</t>
  </si>
  <si>
    <t>State serious activity pressure.</t>
  </si>
  <si>
    <t>3164.0</t>
  </si>
  <si>
    <t>Dinner rich decide do.</t>
  </si>
  <si>
    <t>1950.21</t>
  </si>
  <si>
    <t>Serious reveal left social fine.</t>
  </si>
  <si>
    <t>1101.61</t>
  </si>
  <si>
    <t>Show recently decide last.</t>
  </si>
  <si>
    <t>4240.0</t>
  </si>
  <si>
    <t>Hear officer.</t>
  </si>
  <si>
    <t>1051.69</t>
  </si>
  <si>
    <t>Wall act special.</t>
  </si>
  <si>
    <t>1818.76</t>
  </si>
  <si>
    <t>Different international sell several.</t>
  </si>
  <si>
    <t>1611.37</t>
  </si>
  <si>
    <t>For age size.</t>
  </si>
  <si>
    <t>830.29</t>
  </si>
  <si>
    <t>With yes nothing.</t>
  </si>
  <si>
    <t>500.0</t>
  </si>
  <si>
    <t>Woman daughter hospital move.</t>
  </si>
  <si>
    <t>694.33</t>
  </si>
  <si>
    <t>Board notice later thus.</t>
  </si>
  <si>
    <t>1378.66</t>
  </si>
  <si>
    <t>Bit need allow.</t>
  </si>
  <si>
    <t>606.22</t>
  </si>
  <si>
    <t>Cost attorney.</t>
  </si>
  <si>
    <t>1198.04</t>
  </si>
  <si>
    <t>Day fact modern.</t>
  </si>
  <si>
    <t>385.26</t>
  </si>
  <si>
    <t>Happy action.</t>
  </si>
  <si>
    <t>795.56</t>
  </si>
  <si>
    <t>Hospital writer can industry.</t>
  </si>
  <si>
    <t>3599.0</t>
  </si>
  <si>
    <t>Western tend candidate day.</t>
  </si>
  <si>
    <t>850.26</t>
  </si>
  <si>
    <t>City offer financial data.</t>
  </si>
  <si>
    <t>576.51</t>
  </si>
  <si>
    <t>Cut yard knowledge.</t>
  </si>
  <si>
    <t>831.68</t>
  </si>
  <si>
    <t>Space moment travel these least.</t>
  </si>
  <si>
    <t>281.88</t>
  </si>
  <si>
    <t>Say explain.</t>
  </si>
  <si>
    <t>4209.0</t>
  </si>
  <si>
    <t>Red republican father party.</t>
  </si>
  <si>
    <t>383.7</t>
  </si>
  <si>
    <t>Eat tonight run leader.</t>
  </si>
  <si>
    <t>4882.0</t>
  </si>
  <si>
    <t>Believe recognize analysis those citizen.</t>
  </si>
  <si>
    <t>2811.0</t>
  </si>
  <si>
    <t>Project at risk.</t>
  </si>
  <si>
    <t>1456.94</t>
  </si>
  <si>
    <t>In seven building hard.</t>
  </si>
  <si>
    <t>39.3</t>
  </si>
  <si>
    <t>Short for late education.</t>
  </si>
  <si>
    <t>630.04</t>
  </si>
  <si>
    <t>Left available.</t>
  </si>
  <si>
    <t>932.73</t>
  </si>
  <si>
    <t>Gas human create also.</t>
  </si>
  <si>
    <t>169.64</t>
  </si>
  <si>
    <t>Remember carry.</t>
  </si>
  <si>
    <t>121.52</t>
  </si>
  <si>
    <t>Leave bar prevent require.</t>
  </si>
  <si>
    <t>1090.95</t>
  </si>
  <si>
    <t>Likely evidence claim.</t>
  </si>
  <si>
    <t>3625.0</t>
  </si>
  <si>
    <t>Beyond family movement hospital back.</t>
  </si>
  <si>
    <t>1949.45</t>
  </si>
  <si>
    <t>Child group describe.</t>
  </si>
  <si>
    <t>1544.74</t>
  </si>
  <si>
    <t>Democratic recent student specific political.</t>
  </si>
  <si>
    <t>406.37</t>
  </si>
  <si>
    <t>Real know our any.</t>
  </si>
  <si>
    <t>1047.07</t>
  </si>
  <si>
    <t>Up hear draw.</t>
  </si>
  <si>
    <t>784.35</t>
  </si>
  <si>
    <t>Instead writer.</t>
  </si>
  <si>
    <t>325.64</t>
  </si>
  <si>
    <t>Quite as when.</t>
  </si>
  <si>
    <t>Right analysis mention.</t>
  </si>
  <si>
    <t>727.25</t>
  </si>
  <si>
    <t>No couple debate must.</t>
  </si>
  <si>
    <t>1425.0</t>
  </si>
  <si>
    <t>Discussion black follow.</t>
  </si>
  <si>
    <t>655.78</t>
  </si>
  <si>
    <t>Pressure activity defense detail.</t>
  </si>
  <si>
    <t>1480.0</t>
  </si>
  <si>
    <t>Category_Clean</t>
  </si>
  <si>
    <t>Transaction Descritpion Clean</t>
  </si>
  <si>
    <t>Month</t>
  </si>
  <si>
    <t>Year</t>
  </si>
  <si>
    <t>Etiquetas de fila</t>
  </si>
  <si>
    <t>Total general</t>
  </si>
  <si>
    <t>Etiquetas de columna</t>
  </si>
  <si>
    <t>(Todas)</t>
  </si>
  <si>
    <t>Monthly Evolution</t>
  </si>
  <si>
    <t>Expenses and Incomes by Category</t>
  </si>
  <si>
    <t>Personal Finance Dashboard</t>
  </si>
  <si>
    <t>Incomes, expenses and monthly tendencies.</t>
  </si>
  <si>
    <t>Incomes and Expenses by Category</t>
  </si>
  <si>
    <t>Monthly Tendencies of Incomes and Expenses</t>
  </si>
  <si>
    <t>This dashboard summarizes personal transactions that were cleaned and categorized in Excel. It shows distribution by category, monthly trends of income and expenses.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</si>
</sst>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49" fontId="0" fillId="34" borderId="10" xfId="0" applyNumberFormat="1" applyFont="1" applyFill="1" applyBorder="1"/>
    <xf numFmtId="49" fontId="0" fillId="0" borderId="10" xfId="0" applyNumberFormat="1" applyFont="1" applyBorder="1"/>
    <xf numFmtId="0" fontId="0" fillId="34" borderId="10" xfId="0" applyNumberFormat="1" applyFont="1" applyFill="1" applyBorder="1"/>
    <xf numFmtId="0" fontId="0" fillId="0" borderId="10" xfId="0" applyNumberFormat="1" applyFont="1" applyBorder="1"/>
    <xf numFmtId="0" fontId="0" fillId="0" borderId="0" xfId="0" applyNumberFormat="1"/>
    <xf numFmtId="14" fontId="0" fillId="34" borderId="10" xfId="0" applyNumberFormat="1" applyFont="1" applyFill="1" applyBorder="1"/>
    <xf numFmtId="14" fontId="0" fillId="0" borderId="10" xfId="0" applyNumberFormat="1" applyFont="1" applyBorder="1"/>
    <xf numFmtId="0" fontId="13" fillId="33" borderId="11" xfId="0" applyFont="1" applyFill="1" applyBorder="1"/>
    <xf numFmtId="0" fontId="0" fillId="34" borderId="12" xfId="0" applyNumberFormat="1" applyFont="1" applyFill="1" applyBorder="1"/>
    <xf numFmtId="2" fontId="0" fillId="34" borderId="10" xfId="0" applyNumberFormat="1" applyFont="1" applyFill="1" applyBorder="1" applyAlignment="1">
      <alignment horizontal="right"/>
    </xf>
    <xf numFmtId="2" fontId="0" fillId="0" borderId="10" xfId="0" applyNumberFormat="1" applyFont="1" applyBorder="1" applyAlignment="1">
      <alignment horizontal="right"/>
    </xf>
    <xf numFmtId="14" fontId="0" fillId="34" borderId="12" xfId="0" applyNumberFormat="1" applyFont="1" applyFill="1" applyBorder="1"/>
    <xf numFmtId="49" fontId="0" fillId="34" borderId="12" xfId="0" applyNumberFormat="1" applyFont="1" applyFill="1" applyBorder="1"/>
    <xf numFmtId="2" fontId="0" fillId="34" borderId="12" xfId="0" applyNumberFormat="1" applyFont="1" applyFill="1" applyBorder="1" applyAlignment="1">
      <alignment horizontal="right"/>
    </xf>
    <xf numFmtId="0" fontId="0" fillId="0" borderId="0" xfId="0" applyFont="1"/>
    <xf numFmtId="0" fontId="0" fillId="0" borderId="13" xfId="0" pivotButton="1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13" xfId="0" applyNumberFormat="1" applyBorder="1"/>
    <xf numFmtId="0" fontId="0" fillId="0" borderId="13" xfId="0" pivotButton="1" applyBorder="1" applyAlignment="1">
      <alignment horizontal="left"/>
    </xf>
    <xf numFmtId="0" fontId="18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9" fillId="0" borderId="0" xfId="0" applyFont="1" applyAlignment="1">
      <alignment horizontal="left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[finance_clean.xlsx]Pivot_Categories!TablaDinámica1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Pivot_Categories!$B$3:$B$4</c:f>
              <c:strCache>
                <c:ptCount val="1"/>
                <c:pt idx="0">
                  <c:v>Expense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Pivot_Categories!$A$5:$A$15</c:f>
              <c:strCache>
                <c:ptCount val="10"/>
                <c:pt idx="0">
                  <c:v>Entertainment</c:v>
                </c:pt>
                <c:pt idx="1">
                  <c:v>Food &amp; Drink</c:v>
                </c:pt>
                <c:pt idx="2">
                  <c:v>Health &amp; Fitness</c:v>
                </c:pt>
                <c:pt idx="3">
                  <c:v>Investment</c:v>
                </c:pt>
                <c:pt idx="4">
                  <c:v>Other</c:v>
                </c:pt>
                <c:pt idx="5">
                  <c:v>Rent</c:v>
                </c:pt>
                <c:pt idx="6">
                  <c:v>Salary</c:v>
                </c:pt>
                <c:pt idx="7">
                  <c:v>Shopping</c:v>
                </c:pt>
                <c:pt idx="8">
                  <c:v>Travel</c:v>
                </c:pt>
                <c:pt idx="9">
                  <c:v>Utilities</c:v>
                </c:pt>
              </c:strCache>
            </c:strRef>
          </c:cat>
          <c:val>
            <c:numRef>
              <c:f>Pivot_Categories!$B$5:$B$15</c:f>
              <c:numCache>
                <c:formatCode>General</c:formatCode>
                <c:ptCount val="10"/>
                <c:pt idx="0">
                  <c:v>143</c:v>
                </c:pt>
                <c:pt idx="1">
                  <c:v>149</c:v>
                </c:pt>
                <c:pt idx="2">
                  <c:v>152</c:v>
                </c:pt>
                <c:pt idx="5">
                  <c:v>165</c:v>
                </c:pt>
                <c:pt idx="6">
                  <c:v>146</c:v>
                </c:pt>
                <c:pt idx="7">
                  <c:v>150</c:v>
                </c:pt>
                <c:pt idx="8">
                  <c:v>160</c:v>
                </c:pt>
                <c:pt idx="9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4-4E4B-8D5E-F48D86C2C673}"/>
            </c:ext>
          </c:extLst>
        </c:ser>
        <c:ser>
          <c:idx val="1"/>
          <c:order val="1"/>
          <c:tx>
            <c:strRef>
              <c:f>Pivot_Categories!$C$3:$C$4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Pivot_Categories!$A$5:$A$15</c:f>
              <c:strCache>
                <c:ptCount val="10"/>
                <c:pt idx="0">
                  <c:v>Entertainment</c:v>
                </c:pt>
                <c:pt idx="1">
                  <c:v>Food &amp; Drink</c:v>
                </c:pt>
                <c:pt idx="2">
                  <c:v>Health &amp; Fitness</c:v>
                </c:pt>
                <c:pt idx="3">
                  <c:v>Investment</c:v>
                </c:pt>
                <c:pt idx="4">
                  <c:v>Other</c:v>
                </c:pt>
                <c:pt idx="5">
                  <c:v>Rent</c:v>
                </c:pt>
                <c:pt idx="6">
                  <c:v>Salary</c:v>
                </c:pt>
                <c:pt idx="7">
                  <c:v>Shopping</c:v>
                </c:pt>
                <c:pt idx="8">
                  <c:v>Travel</c:v>
                </c:pt>
                <c:pt idx="9">
                  <c:v>Utilities</c:v>
                </c:pt>
              </c:strCache>
            </c:strRef>
          </c:cat>
          <c:val>
            <c:numRef>
              <c:f>Pivot_Categories!$C$5:$C$15</c:f>
              <c:numCache>
                <c:formatCode>General</c:formatCode>
                <c:ptCount val="10"/>
                <c:pt idx="3">
                  <c:v>142</c:v>
                </c:pt>
                <c:pt idx="4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4-4E4B-8D5E-F48D86C2C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79705279"/>
        <c:axId val="1279719199"/>
      </c:barChart>
      <c:catAx>
        <c:axId val="12797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19199"/>
        <c:crosses val="autoZero"/>
        <c:auto val="1"/>
        <c:lblAlgn val="ctr"/>
        <c:lblOffset val="100"/>
        <c:noMultiLvlLbl val="0"/>
      </c:catAx>
      <c:valAx>
        <c:axId val="127971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0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[finance_clean.xlsx]Pivot_Monthly!TablaDinámica2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Pivot_Monthly!$B$3:$B$4</c:f>
              <c:strCache>
                <c:ptCount val="1"/>
                <c:pt idx="0">
                  <c:v>Expense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Pivot_Monthly!$A$5:$A$17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Pivot_Monthly!$B$5:$B$17</c:f>
              <c:numCache>
                <c:formatCode>General</c:formatCode>
                <c:ptCount val="12"/>
                <c:pt idx="0">
                  <c:v>109</c:v>
                </c:pt>
                <c:pt idx="1">
                  <c:v>89</c:v>
                </c:pt>
                <c:pt idx="2">
                  <c:v>104</c:v>
                </c:pt>
                <c:pt idx="3">
                  <c:v>88</c:v>
                </c:pt>
                <c:pt idx="4">
                  <c:v>112</c:v>
                </c:pt>
                <c:pt idx="5">
                  <c:v>108</c:v>
                </c:pt>
                <c:pt idx="6">
                  <c:v>113</c:v>
                </c:pt>
                <c:pt idx="7">
                  <c:v>104</c:v>
                </c:pt>
                <c:pt idx="8">
                  <c:v>107</c:v>
                </c:pt>
                <c:pt idx="9">
                  <c:v>91</c:v>
                </c:pt>
                <c:pt idx="10">
                  <c:v>110</c:v>
                </c:pt>
                <c:pt idx="1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4-4A09-BBD4-ECA7590F00A0}"/>
            </c:ext>
          </c:extLst>
        </c:ser>
        <c:ser>
          <c:idx val="1"/>
          <c:order val="1"/>
          <c:tx>
            <c:strRef>
              <c:f>Pivot_Monthly!$C$3:$C$4</c:f>
              <c:strCache>
                <c:ptCount val="1"/>
                <c:pt idx="0">
                  <c:v>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Pivot_Monthly!$A$5:$A$17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Pivot_Monthly!$C$5:$C$17</c:f>
              <c:numCache>
                <c:formatCode>General</c:formatCode>
                <c:ptCount val="12"/>
                <c:pt idx="0">
                  <c:v>29</c:v>
                </c:pt>
                <c:pt idx="1">
                  <c:v>26</c:v>
                </c:pt>
                <c:pt idx="2">
                  <c:v>33</c:v>
                </c:pt>
                <c:pt idx="3">
                  <c:v>22</c:v>
                </c:pt>
                <c:pt idx="4">
                  <c:v>19</c:v>
                </c:pt>
                <c:pt idx="5">
                  <c:v>20</c:v>
                </c:pt>
                <c:pt idx="6">
                  <c:v>22</c:v>
                </c:pt>
                <c:pt idx="7">
                  <c:v>21</c:v>
                </c:pt>
                <c:pt idx="8">
                  <c:v>22</c:v>
                </c:pt>
                <c:pt idx="9">
                  <c:v>24</c:v>
                </c:pt>
                <c:pt idx="10">
                  <c:v>23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4-4A09-BBD4-ECA7590F0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725919"/>
        <c:axId val="1279726399"/>
      </c:lineChart>
      <c:catAx>
        <c:axId val="127972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26399"/>
        <c:crosses val="autoZero"/>
        <c:auto val="1"/>
        <c:lblAlgn val="ctr"/>
        <c:lblOffset val="100"/>
        <c:noMultiLvlLbl val="0"/>
      </c:catAx>
      <c:valAx>
        <c:axId val="127972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2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[finance_clean.xlsx]Pivot_Categories!TablaDinámica1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Pivot_Categories!$B$3:$B$4</c:f>
              <c:strCache>
                <c:ptCount val="1"/>
                <c:pt idx="0">
                  <c:v>Expense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Pivot_Categories!$A$5:$A$15</c:f>
              <c:strCache>
                <c:ptCount val="10"/>
                <c:pt idx="0">
                  <c:v>Entertainment</c:v>
                </c:pt>
                <c:pt idx="1">
                  <c:v>Food &amp; Drink</c:v>
                </c:pt>
                <c:pt idx="2">
                  <c:v>Health &amp; Fitness</c:v>
                </c:pt>
                <c:pt idx="3">
                  <c:v>Investment</c:v>
                </c:pt>
                <c:pt idx="4">
                  <c:v>Other</c:v>
                </c:pt>
                <c:pt idx="5">
                  <c:v>Rent</c:v>
                </c:pt>
                <c:pt idx="6">
                  <c:v>Salary</c:v>
                </c:pt>
                <c:pt idx="7">
                  <c:v>Shopping</c:v>
                </c:pt>
                <c:pt idx="8">
                  <c:v>Travel</c:v>
                </c:pt>
                <c:pt idx="9">
                  <c:v>Utilities</c:v>
                </c:pt>
              </c:strCache>
            </c:strRef>
          </c:cat>
          <c:val>
            <c:numRef>
              <c:f>Pivot_Categories!$B$5:$B$15</c:f>
              <c:numCache>
                <c:formatCode>General</c:formatCode>
                <c:ptCount val="10"/>
                <c:pt idx="0">
                  <c:v>143</c:v>
                </c:pt>
                <c:pt idx="1">
                  <c:v>149</c:v>
                </c:pt>
                <c:pt idx="2">
                  <c:v>152</c:v>
                </c:pt>
                <c:pt idx="5">
                  <c:v>165</c:v>
                </c:pt>
                <c:pt idx="6">
                  <c:v>146</c:v>
                </c:pt>
                <c:pt idx="7">
                  <c:v>150</c:v>
                </c:pt>
                <c:pt idx="8">
                  <c:v>160</c:v>
                </c:pt>
                <c:pt idx="9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4-4C3D-8A08-9AAF5C36D673}"/>
            </c:ext>
          </c:extLst>
        </c:ser>
        <c:ser>
          <c:idx val="1"/>
          <c:order val="1"/>
          <c:tx>
            <c:strRef>
              <c:f>Pivot_Categories!$C$3:$C$4</c:f>
              <c:strCache>
                <c:ptCount val="1"/>
                <c:pt idx="0">
                  <c:v>Income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Pivot_Categories!$A$5:$A$15</c:f>
              <c:strCache>
                <c:ptCount val="10"/>
                <c:pt idx="0">
                  <c:v>Entertainment</c:v>
                </c:pt>
                <c:pt idx="1">
                  <c:v>Food &amp; Drink</c:v>
                </c:pt>
                <c:pt idx="2">
                  <c:v>Health &amp; Fitness</c:v>
                </c:pt>
                <c:pt idx="3">
                  <c:v>Investment</c:v>
                </c:pt>
                <c:pt idx="4">
                  <c:v>Other</c:v>
                </c:pt>
                <c:pt idx="5">
                  <c:v>Rent</c:v>
                </c:pt>
                <c:pt idx="6">
                  <c:v>Salary</c:v>
                </c:pt>
                <c:pt idx="7">
                  <c:v>Shopping</c:v>
                </c:pt>
                <c:pt idx="8">
                  <c:v>Travel</c:v>
                </c:pt>
                <c:pt idx="9">
                  <c:v>Utilities</c:v>
                </c:pt>
              </c:strCache>
            </c:strRef>
          </c:cat>
          <c:val>
            <c:numRef>
              <c:f>Pivot_Categories!$C$5:$C$15</c:f>
              <c:numCache>
                <c:formatCode>General</c:formatCode>
                <c:ptCount val="10"/>
                <c:pt idx="3">
                  <c:v>142</c:v>
                </c:pt>
                <c:pt idx="4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54-4C3D-8A08-9AAF5C36D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79705279"/>
        <c:axId val="1279719199"/>
      </c:barChart>
      <c:catAx>
        <c:axId val="127970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19199"/>
        <c:crosses val="autoZero"/>
        <c:auto val="1"/>
        <c:lblAlgn val="ctr"/>
        <c:lblOffset val="100"/>
        <c:noMultiLvlLbl val="0"/>
      </c:catAx>
      <c:valAx>
        <c:axId val="127971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0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[finance_clean.xlsx]Pivot_Monthly!TablaDinámica2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Pivot_Monthly!$B$3:$B$4</c:f>
              <c:strCache>
                <c:ptCount val="1"/>
                <c:pt idx="0">
                  <c:v>Expense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Pivot_Monthly!$A$5:$A$17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Pivot_Monthly!$B$5:$B$17</c:f>
              <c:numCache>
                <c:formatCode>General</c:formatCode>
                <c:ptCount val="12"/>
                <c:pt idx="0">
                  <c:v>109</c:v>
                </c:pt>
                <c:pt idx="1">
                  <c:v>89</c:v>
                </c:pt>
                <c:pt idx="2">
                  <c:v>104</c:v>
                </c:pt>
                <c:pt idx="3">
                  <c:v>88</c:v>
                </c:pt>
                <c:pt idx="4">
                  <c:v>112</c:v>
                </c:pt>
                <c:pt idx="5">
                  <c:v>108</c:v>
                </c:pt>
                <c:pt idx="6">
                  <c:v>113</c:v>
                </c:pt>
                <c:pt idx="7">
                  <c:v>104</c:v>
                </c:pt>
                <c:pt idx="8">
                  <c:v>107</c:v>
                </c:pt>
                <c:pt idx="9">
                  <c:v>91</c:v>
                </c:pt>
                <c:pt idx="10">
                  <c:v>110</c:v>
                </c:pt>
                <c:pt idx="1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AD-4A12-B813-4F8BDB28997D}"/>
            </c:ext>
          </c:extLst>
        </c:ser>
        <c:ser>
          <c:idx val="1"/>
          <c:order val="1"/>
          <c:tx>
            <c:strRef>
              <c:f>Pivot_Monthly!$C$3:$C$4</c:f>
              <c:strCache>
                <c:ptCount val="1"/>
                <c:pt idx="0">
                  <c:v>Income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Pivot_Monthly!$A$5:$A$17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Pivot_Monthly!$C$5:$C$17</c:f>
              <c:numCache>
                <c:formatCode>General</c:formatCode>
                <c:ptCount val="12"/>
                <c:pt idx="0">
                  <c:v>29</c:v>
                </c:pt>
                <c:pt idx="1">
                  <c:v>26</c:v>
                </c:pt>
                <c:pt idx="2">
                  <c:v>33</c:v>
                </c:pt>
                <c:pt idx="3">
                  <c:v>22</c:v>
                </c:pt>
                <c:pt idx="4">
                  <c:v>19</c:v>
                </c:pt>
                <c:pt idx="5">
                  <c:v>20</c:v>
                </c:pt>
                <c:pt idx="6">
                  <c:v>22</c:v>
                </c:pt>
                <c:pt idx="7">
                  <c:v>21</c:v>
                </c:pt>
                <c:pt idx="8">
                  <c:v>22</c:v>
                </c:pt>
                <c:pt idx="9">
                  <c:v>24</c:v>
                </c:pt>
                <c:pt idx="10">
                  <c:v>23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AD-4A12-B813-4F8BDB289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9725919"/>
        <c:axId val="1279726399"/>
      </c:lineChart>
      <c:catAx>
        <c:axId val="127972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26399"/>
        <c:crosses val="autoZero"/>
        <c:auto val="1"/>
        <c:lblAlgn val="ctr"/>
        <c:lblOffset val="100"/>
        <c:noMultiLvlLbl val="0"/>
      </c:catAx>
      <c:valAx>
        <c:axId val="127972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2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2</xdr:row>
      <xdr:rowOff>4762</xdr:rowOff>
    </xdr:from>
    <xdr:to>
      <xdr:col>11</xdr:col>
      <xdr:colOff>9525</xdr:colOff>
      <xdr:row>16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B12058-0A18-EDF4-DC26-47D3C376B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752475</xdr:colOff>
      <xdr:row>2</xdr:row>
      <xdr:rowOff>23812</xdr:rowOff>
    </xdr:from>
    <xdr:to>
      <xdr:col>10</xdr:col>
      <xdr:colOff>752475</xdr:colOff>
      <xdr:row>16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B78A63-3172-77F6-9683-509E0BADE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76200</xdr:rowOff>
    </xdr:from>
    <xdr:to>
      <xdr:col>8</xdr:col>
      <xdr:colOff>0</xdr:colOff>
      <xdr:row>18</xdr:row>
      <xdr:rowOff>145200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8ABA06-86D9-4419-93AE-922C125FB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76200</xdr:rowOff>
    </xdr:from>
    <xdr:to>
      <xdr:col>15</xdr:col>
      <xdr:colOff>0</xdr:colOff>
      <xdr:row>18</xdr:row>
      <xdr:rowOff>145200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6A5F16-F66A-41F2-87D4-56370F28F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Vila" refreshedDate="45980.748850810189" createdVersion="8" refreshedVersion="8" minRefreshableVersion="3" recordCount="1500" xr:uid="{71C3B699-178D-4BA3-9C74-CE90450B89EB}">
  <cacheSource type="worksheet">
    <worksheetSource name="tblClean"/>
  </cacheSource>
  <cacheFields count="9">
    <cacheField name="Date" numFmtId="14">
      <sharedItems containsSemiMixedTypes="0" containsNonDate="0" containsDate="1" containsString="0" minDate="2020-01-02T00:00:00" maxDate="2024-12-30T00:00:00"/>
    </cacheField>
    <cacheField name="Transaction Description" numFmtId="49">
      <sharedItems/>
    </cacheField>
    <cacheField name="Transaction Descritpion Clean" numFmtId="0">
      <sharedItems count="1500">
        <s v="Score Each."/>
        <s v="Quality Throughout."/>
        <s v="Instead Ahead Despite Measure Ago."/>
        <s v="Information Last Everything Thank Serve."/>
        <s v="Future Choice Whatever From."/>
        <s v="Benefit Suggest Page Southern."/>
        <s v="By Two Bad Fall Pick."/>
        <s v="Court Attorney Product Significant World."/>
        <s v="Herself Law."/>
        <s v="Play Move Each Left Establish."/>
        <s v="Have Decide Environment."/>
        <s v="Range Successful Simply."/>
        <s v="Source Husband."/>
        <s v="Tree Note Responsibility."/>
        <s v="How Trip Learn Enter."/>
        <s v="Much Section Investment On Gun."/>
        <s v="Management Sense Technology Check Civil."/>
        <s v="As High You More Wife."/>
        <s v="Race Mr."/>
        <s v="Seven Medical Blood Personal."/>
        <s v="Born Itself Law West."/>
        <s v="Food Affect Upon These Story."/>
        <s v="Current Hear Claim Well Two."/>
        <s v="Around There Water."/>
        <s v="Staff Within Mouth Call."/>
        <s v="Close Month Parent Who Up."/>
        <s v="Human Public Health."/>
        <s v="Building Different Full Open."/>
        <s v="Detail Audience Piece Director Town."/>
        <s v="Method Everything."/>
        <s v="Much Rich Think."/>
        <s v="Drug List Imagine Behind."/>
        <s v="Interest Level Rock Pull."/>
        <s v="I Fund."/>
        <s v="Court Movie Cell."/>
        <s v="Leg Themselves Away."/>
        <s v="Anything Yourself."/>
        <s v="Unit Support."/>
        <s v="Magazine Degree Husband Around."/>
        <s v="World Enter."/>
        <s v="Institution Whatever Yet."/>
        <s v="Choice Father Why Often."/>
        <s v="Security Arm."/>
        <s v="Me System Church Whether."/>
        <s v="Attention Attack Technology."/>
        <s v="Walk Now Often."/>
        <s v="Bank Price North First End."/>
        <s v="Enter Capital Population."/>
        <s v="Upon Very Act Perform."/>
        <s v="Available Defense."/>
        <s v="Value Thing These."/>
        <s v="Citizen Street Region."/>
        <s v="Enough Threat Score."/>
        <s v="Property Never."/>
        <s v="Example Decision Garden."/>
        <s v="Major Town Suffer Begin."/>
        <s v="Analysis Four Capital."/>
        <s v="Scientist Necessary Into."/>
        <s v="Away Third."/>
        <s v="Along Hard Need Involve Among."/>
        <s v="Together Decide."/>
        <s v="See Understand Door Class Son."/>
        <s v="Government Nice."/>
        <s v="Agent Say Forward Us."/>
        <s v="City Red Him."/>
        <s v="Develop Staff Least Figure."/>
        <s v="Age Cover Foreign."/>
        <s v="Voice Boy Wife Condition."/>
        <s v="Go Meeting Quickly."/>
        <s v="Board Its."/>
        <s v="Paper Memory History Office."/>
        <s v="Remember Ability."/>
        <s v="Hair Attorney Professional."/>
        <s v="Finish Summer Rest Feel Finally."/>
        <s v="Past Feeling Nature."/>
        <s v="I Fast Camera Inside."/>
        <s v="Expert Involve Oil."/>
        <s v="Kid Put Memory Soldier."/>
        <s v="Exist Professional."/>
        <s v="Stand Seem."/>
        <s v="Southern Challenge Animal."/>
        <s v="Sure Authority Increase Picture Create."/>
        <s v="Hundred Challenge Reach Throughout."/>
        <s v="Despite Sound Receive Let."/>
        <s v="True Building Card."/>
        <s v="Write Other Wear Through Partner."/>
        <s v="Store Natural Today Season."/>
        <s v="Else Easy Point She."/>
        <s v="Phone Ever Back Experience."/>
        <s v="Floor Music Catch Discuss."/>
        <s v="Ask Imagine My."/>
        <s v="Deal Information."/>
        <s v="Task She."/>
        <s v="Accept Goal Send Table."/>
        <s v="Section National Owner Determine Detail."/>
        <s v="Ahead From Quickly Identify."/>
        <s v="Try Wonder Move Trade."/>
        <s v="Base Investment."/>
        <s v="Anyone Here Deep."/>
        <s v="Seven Here Sell Story."/>
        <s v="Like See."/>
        <s v="Difference Attention Whatever American."/>
        <s v="Current After Charge."/>
        <s v="Paper White Responsibility."/>
        <s v="Prove Nor Design Record."/>
        <s v="Blue Agent Find."/>
        <s v="Walk Cup Option Store."/>
        <s v="Site Girl Into Have Media."/>
        <s v="Recent Feeling."/>
        <s v="Support State."/>
        <s v="Whether Player Stock Religious."/>
        <s v="Safe Whole Establish."/>
        <s v="Everything Late."/>
        <s v="Particular Her Agreement Surface Consider."/>
        <s v="Let Stay Or Focus."/>
        <s v="Something Future They Red."/>
        <s v="Act Way Beat Result Major."/>
        <s v="Reality Fill Ok List."/>
        <s v="Position Make Society Behavior."/>
        <s v="International Second Former Reflect."/>
        <s v="Edge Building Court."/>
        <s v="Week Real Course School Everybody."/>
        <s v="Executive Beyond Create Dinner Conference."/>
        <s v="Call Animal Approach Factor Want."/>
        <s v="Their Off."/>
        <s v="Key Continue Anything Wait."/>
        <s v="State Husband."/>
        <s v="Picture Approach Chance None Fight."/>
        <s v="Herself Training Father Open Investment."/>
        <s v="Newspaper Indicate Other."/>
        <s v="Art Whether Between Several Personal."/>
        <s v="Church Community."/>
        <s v="Discuss Religious."/>
        <s v="Able Late Order."/>
        <s v="Reach Under."/>
        <s v="Boy Different Chance Enter."/>
        <s v="Arrive Society."/>
        <s v="Keep Light Fight."/>
        <s v="Matter Management Ball."/>
        <s v="Same Page Ago Director."/>
        <s v="Million Kind Everything Young."/>
        <s v="Week Yourself Public Especially American."/>
        <s v="Why Like Impact Fly."/>
        <s v="Form Really Explain."/>
        <s v="Price My."/>
        <s v="Already Because Education Break Significant."/>
        <s v="Could Gun."/>
        <s v="Kind Appear Environment Capital Explain."/>
        <s v="Ahead Picture Son."/>
        <s v="Water Positive Child Usually."/>
        <s v="Relate Indeed Lot Line Lead."/>
        <s v="Nearly Need Behavior."/>
        <s v="Course Out Second Carry."/>
        <s v="Significant Take Future."/>
        <s v="Your Majority Chance Mrs Generation."/>
        <s v="Help Usually Thank Wonder Draw."/>
        <s v="Star Executive Fear."/>
        <s v="History Professional Star Wonder."/>
        <s v="Task Improve Fish."/>
        <s v="Call Whole."/>
        <s v="Address Century That Wide."/>
        <s v="Them Key."/>
        <s v="Sit Enter Perhaps However."/>
        <s v="System Teacher Here First."/>
        <s v="Along Attention Piece Tv Young."/>
        <s v="Within Set Region Beyond."/>
        <s v="Tough Animal Someone."/>
        <s v="Hear Certainly Most Not."/>
        <s v="Company Participant Him."/>
        <s v="Tree Central Leave Effect."/>
        <s v="Together Let."/>
        <s v="Citizen Kid Generation Onto Police."/>
        <s v="Down Occur."/>
        <s v="Lead Few Yourself."/>
        <s v="Yeah Far Within."/>
        <s v="Account Ten Sing."/>
        <s v="Seat Strategy Total Simply Discover."/>
        <s v="Pm Per Question."/>
        <s v="Best Physical Always Small Almost."/>
        <s v="Bed Far Section."/>
        <s v="Car Much Will."/>
        <s v="Tree Store Either Station."/>
        <s v="Second Full Boy."/>
        <s v="Senior Difficult Put."/>
        <s v="Hand So Add Mr Lawyer."/>
        <s v="Herself Police He Push Likely."/>
        <s v="Bring Animal Also You."/>
        <s v="Doctor Mr."/>
        <s v="Trip Determine As Statement."/>
        <s v="He We Recent Music."/>
        <s v="Those Pressure Street."/>
        <s v="Allow Have Kitchen."/>
        <s v="Huge Couple."/>
        <s v="Between Rate Name Within."/>
        <s v="During Call North Attention."/>
        <s v="Only Spend Do."/>
        <s v="Begin Deep Police Wife."/>
        <s v="Able Teach Certain Candidate Economy."/>
        <s v="Produce Ago."/>
        <s v="So Draw Food Company."/>
        <s v="Sing Message Board Mean."/>
        <s v="Feeling Poor All Your Suggest."/>
        <s v="Score Moment Second."/>
        <s v="Make Travel."/>
        <s v="Focus Chance."/>
        <s v="Person One Republican."/>
        <s v="Most Law Painting Between Reduce."/>
        <s v="Involve Thousand Including."/>
        <s v="Rather Listen Before."/>
        <s v="It Season."/>
        <s v="Indeed Believe Interview Professor."/>
        <s v="News Only No."/>
        <s v="Improve Them Wait."/>
        <s v="Official Defense."/>
        <s v="Suggest Glass News."/>
        <s v="Why Outside."/>
        <s v="Off Southern Suddenly."/>
        <s v="Participant Price."/>
        <s v="Congress Reflect."/>
        <s v="Go Consider Century Price."/>
        <s v="Scientist Will Begin."/>
        <s v="Heavy Law Church."/>
        <s v="Since Nothing Be Apply."/>
        <s v="Anyone Bank Kitchen Interest Parent."/>
        <s v="Democratic Mention Generation."/>
        <s v="Question Or Money."/>
        <s v="Determine Worker."/>
        <s v="Can Mouth Discover."/>
        <s v="Face Build Market."/>
        <s v="Daughter War."/>
        <s v="Author Technology Amount Affect."/>
        <s v="Office Of Remember Individual."/>
        <s v="Again Foot Soon Peace."/>
        <s v="Join Black."/>
        <s v="Hundred Bad That Second Develop."/>
        <s v="Member Box."/>
        <s v="Town Glass Road."/>
        <s v="Bill Eight Community."/>
        <s v="Concern Significant."/>
        <s v="Senior Service Large Under."/>
        <s v="Follow Wife Firm Key Light."/>
        <s v="Also Hard Expert Popular."/>
        <s v="Option Goal Avoid."/>
        <s v="Order His Oil West School."/>
        <s v="Training Occur Could Painting."/>
        <s v="Yard Model Particular Hair."/>
        <s v="Impact Full Our Smile."/>
        <s v="Mean Common."/>
        <s v="Whatever Late Specific."/>
        <s v="Edge Surface Who."/>
        <s v="Form Newspaper."/>
        <s v="Bank Professional True Financial."/>
        <s v="Organization Visit Finally."/>
        <s v="Spend Prove Stock School."/>
        <s v="Position Interest."/>
        <s v="Guy Congress."/>
        <s v="Way Main Difficult Case."/>
        <s v="Such Big Side."/>
        <s v="Product Then."/>
        <s v="Heavy Class Story Side Speak."/>
        <s v="Analysis Hair Rest Wide."/>
        <s v="Doctor Dream Whole Six."/>
        <s v="Question Now Key Show."/>
        <s v="Month Whom Stage Soon."/>
        <s v="Appear Lose He."/>
        <s v="Surface Expect Several Evening Town."/>
        <s v="Begin Treat Stage This."/>
        <s v="Apply Maybe Dog Yes."/>
        <s v="Agreement Us Stuff."/>
        <s v="Case Expert Stop."/>
        <s v="Large Accept Bad Eight."/>
        <s v="Vote Participant Institution Simply Down."/>
        <s v="Book Toward."/>
        <s v="Draw Police."/>
        <s v="Investment Pass Drive."/>
        <s v="Place Offer."/>
        <s v="Professor Beat Window."/>
        <s v="Wonder Effect Administration Small."/>
        <s v="Name Skill Medical After Them."/>
        <s v="And National Spend."/>
        <s v="Run Pick Sign."/>
        <s v="Wonder Long Consider Care."/>
        <s v="Firm Financial."/>
        <s v="Fall Analysis."/>
        <s v="List Already Positive Experience Television."/>
        <s v="Event Son Join Hundred."/>
        <s v="Fund Cost Reality Happen."/>
        <s v="Song Risk Bad."/>
        <s v="Family Bill Foreign Fast Knowledge."/>
        <s v="Ready Goal Amount."/>
        <s v="Your Ever Woman Way Avoid."/>
        <s v="Call Door."/>
        <s v="Message Seek Civil All."/>
        <s v="Him Note Painting Quickly."/>
        <s v="Know Baby Case Happen."/>
        <s v="Economic Box Save."/>
        <s v="Hit No Energy Employee Land."/>
        <s v="Customer Career Available Common."/>
        <s v="Remember Nearly Face Feel."/>
        <s v="Specific Whose."/>
        <s v="Door Management Guess."/>
        <s v="Soldier Meeting Building."/>
        <s v="Level Work Candidate This."/>
        <s v="Huge Response Long."/>
        <s v="Quite General There Sister."/>
        <s v="Statement Available Win Politics."/>
        <s v="Item Treat Area."/>
        <s v="Check Clearly Follow Remember Generation."/>
        <s v="Suffer Economy Play."/>
        <s v="By Field Move."/>
        <s v="Option Oil Commercial."/>
        <s v="Nation Politics Few Each Southern."/>
        <s v="American Tell Ball We Side."/>
        <s v="Short Indicate Police."/>
        <s v="Law Read Citizen."/>
        <s v="Less Future Century Technology."/>
        <s v="Wish Candidate Have No."/>
        <s v="Letter Environment Easy."/>
        <s v="While Total Spend."/>
        <s v="Face His."/>
        <s v="Couple City You Level."/>
        <s v="Age War Measure Whom."/>
        <s v="Mr Suggest Issue."/>
        <s v="Good Anything Manager Think Pressure."/>
        <s v="Shake Hand Hundred Now."/>
        <s v="Network Available Mean Share."/>
        <s v="Quite Budget Window Hour Some."/>
        <s v="Voice Sense Current Meeting Matter."/>
        <s v="Case Four."/>
        <s v="Lead Paper Middle Foreign Party."/>
        <s v="Wrong School Federal From."/>
        <s v="Majority None Little Admit Former."/>
        <s v="On Someone Rise Read."/>
        <s v="Listen Whose Situation Simply Officer."/>
        <s v="Lose Modern Return Simple Herself."/>
        <s v="Kid Industry."/>
        <s v="Occur Red."/>
        <s v="Improve Simple Turn."/>
        <s v="Heavy What Least Mouth National."/>
        <s v="Million Night Your."/>
        <s v="Relate Real Major."/>
        <s v="Machine Whatever Everything Fear Walk."/>
        <s v="Night Various Return Explain."/>
        <s v="Here Woman Stand West Source."/>
        <s v="Explain Research."/>
        <s v="Pretty Section Degree Still."/>
        <s v="Receive Case Past Only Drug."/>
        <s v="Point Appear Including."/>
        <s v="Race Case."/>
        <s v="Sense Expert Experience."/>
        <s v="Imagine Various There."/>
        <s v="Present Discussion."/>
        <s v="Individual Study Value."/>
        <s v="Small Control See The."/>
        <s v="Across Nothing."/>
        <s v="Expect Writer Myself Management."/>
        <s v="Life Cover Both Class."/>
        <s v="Responsibility Add Front."/>
        <s v="Purpose Cover Particularly Police If."/>
        <s v="Foreign Husband Believe Word Local."/>
        <s v="Few Reveal Activity President."/>
        <s v="End Dog."/>
        <s v="Property Let."/>
        <s v="Rather Type Thousand Show."/>
        <s v="Happen Determine Whatever."/>
        <s v="Lawyer Writer Health."/>
        <s v="Serious Soon Stay Seven."/>
        <s v="Land Region Back Nor Article."/>
        <s v="Dark Mr Clearly Take."/>
        <s v="Quite Response."/>
        <s v="Together Knowledge."/>
        <s v="How Staff."/>
        <s v="Authority Interest Red Must Art."/>
        <s v="Car Indeed Nor Next."/>
        <s v="All Important Shoulder She."/>
        <s v="Year Him Thank Trade."/>
        <s v="Radio Product."/>
        <s v="President Girl Condition."/>
        <s v="More Road Development About."/>
        <s v="Leg Rest Interest."/>
        <s v="Easy Get Every."/>
        <s v="Special Information."/>
        <s v="Scientist I Doctor."/>
        <s v="Five Our Pull Fly Few."/>
        <s v="Cell Year."/>
        <s v="Deal Beyond Almost."/>
        <s v="Determine Feel Article We They."/>
        <s v="Five Indicate Chance Heavy Senior."/>
        <s v="Quickly New Another General Poor."/>
        <s v="Support Feeling Remain."/>
        <s v="None Whose."/>
        <s v="Care Drug Data Position Two."/>
        <s v="Movie Stop."/>
        <s v="Help Painting Always."/>
        <s v="Source Onto Provide."/>
        <s v="Decade Trade Field Training."/>
        <s v="While Bring Yourself."/>
        <s v="Receive Region However."/>
        <s v="Focus Executive Letter Possible Final."/>
        <s v="Have Including None."/>
        <s v="Third Letter Sort Reveal Seven."/>
        <s v="Administration Network Once."/>
        <s v="Nearly Want Front Shake."/>
        <s v="Charge Form Here."/>
        <s v="Leave Run Goal Cause."/>
        <s v="Contain Threat Wrong Whatever."/>
        <s v="Stuff Avoid."/>
        <s v="Include Successful."/>
        <s v="Religious Across."/>
        <s v="Health Pay Project Pattern."/>
        <s v="Administration Mother In Admit."/>
        <s v="Within Admit Spend Purpose South."/>
        <s v="People Education Great."/>
        <s v="Truth Modern."/>
        <s v="Health Image."/>
        <s v="Behavior Here."/>
        <s v="Wrong Difficult Range."/>
        <s v="Argue Act Commercial Matter."/>
        <s v="Not Teach Believe Month."/>
        <s v="Deep Test Thought."/>
        <s v="Another Avoid Understand."/>
        <s v="Up Federal Nor Note."/>
        <s v="Probably Conference Sure Administration Debate."/>
        <s v="Approach Join Stuff Future."/>
        <s v="Forward Sense Cause Write Right."/>
        <s v="Ahead Event Yeah Make."/>
        <s v="Wait It Quickly Produce Beat."/>
        <s v="First Blood Accept Final."/>
        <s v="Require Bank Child."/>
        <s v="Bill Beautiful Issue."/>
        <s v="Mention Billion Bed Never Others."/>
        <s v="Activity Including Single Right."/>
        <s v="Occur College Herself."/>
        <s v="Feeling Manage As."/>
        <s v="Inside Machine Baby."/>
        <s v="Career According."/>
        <s v="Result Many Pattern."/>
        <s v="Success Here Television Key."/>
        <s v="Carry Fly Water Cut Fire."/>
        <s v="Fact Reason Make Office."/>
        <s v="Heavy Staff Hotel Box."/>
        <s v="Or Nation Race."/>
        <s v="Something Story Attorney Summer."/>
        <s v="Available Wrong Look Husband."/>
        <s v="Well Left."/>
        <s v="Cause Field Education Child."/>
        <s v="Myself So Growth Time."/>
        <s v="Point Be Shoulder Price Great."/>
        <s v="Worker Quality Hundred Sell Whole."/>
        <s v="Action Else."/>
        <s v="Newspaper Reach Determine Hear Leg."/>
        <s v="General Agency Bit."/>
        <s v="Break Wait."/>
        <s v="Find Lay Deal Lot."/>
        <s v="Just Recent."/>
        <s v="Feel Special."/>
        <s v="Support Possible."/>
        <s v="Discussion If Continue Policy."/>
        <s v="Might Necessary Former."/>
        <s v="Ahead Pass Culture Or."/>
        <s v="Relate Day."/>
        <s v="Big The Cost For Leader."/>
        <s v="Month Police Others Particularly."/>
        <s v="Girl Suddenly."/>
        <s v="Try Opportunity Public."/>
        <s v="Home Others Offer Institution Main."/>
        <s v="Draw Bring Health."/>
        <s v="Never Majority Cell."/>
        <s v="People Tend Weight Machine."/>
        <s v="White Measure Manager Range."/>
        <s v="Major Bar Air Set."/>
        <s v="Ever Mrs."/>
        <s v="Environmental Myself."/>
        <s v="Not Significant Manager Member."/>
        <s v="State Among Rest National Wrong."/>
        <s v="Fear Yourself Last."/>
        <s v="Keep Yes."/>
        <s v="Specific Onto Go."/>
        <s v="Pattern Size Spend."/>
        <s v="Go Exactly Much Food Region."/>
        <s v="Environment Teach World Quickly Believe."/>
        <s v="Yeah Term."/>
        <s v="Economic Represent Stock."/>
        <s v="Central Plan Physical Heart."/>
        <s v="Idea Seek."/>
        <s v="Wear Force Able Similar."/>
        <s v="Play Recently Sure Somebody."/>
        <s v="Why Station Manager."/>
        <s v="Front Official Not."/>
        <s v="Thus Several Animal Phone."/>
        <s v="Buy Tax."/>
        <s v="A When Dark Read."/>
        <s v="City Usually Ever."/>
        <s v="Personal Rise Sense Investment."/>
        <s v="Bar Professor Power."/>
        <s v="Ability Live."/>
        <s v="Difficult Quite Act Receive Stage."/>
        <s v="Finish Thing."/>
        <s v="Similar Send Card Year."/>
        <s v="Most Across."/>
        <s v="Local Director Become."/>
        <s v="Goal Defense Security Turn."/>
        <s v="Beautiful Beyond Sell."/>
        <s v="White Fire Cause Everybody."/>
        <s v="Day Parent Country."/>
        <s v="Network Outside Parent."/>
        <s v="History Drop Point Audience."/>
        <s v="Value Car Team Nothing."/>
        <s v="Position Six Soldier."/>
        <s v="Raise Several West Side Admit."/>
        <s v="Energy Always."/>
        <s v="Media Pick May Indeed."/>
        <s v="Policy Mrs."/>
        <s v="Base Bad Tv."/>
        <s v="Force Only Shake Power Poor."/>
        <s v="Role Suffer Around Beat."/>
        <s v="Budget Remain Reduce."/>
        <s v="Law Participant."/>
        <s v="Well Mission Situation Result."/>
        <s v="Camera Sit Environmental Though."/>
        <s v="Southern Evening Ask Republican."/>
        <s v="Baby Lawyer Growth Matter Note."/>
        <s v="Effort Bill Off."/>
        <s v="Animal Hair Turn."/>
        <s v="Scientist Able Teach."/>
        <s v="Focus Indicate Result."/>
        <s v="Need Trial."/>
        <s v="Number Budget."/>
        <s v="Development Middle Animal."/>
        <s v="Theory Tend."/>
        <s v="Beat Lead Hard Factor."/>
        <s v="Drug Happy Will Young Simply."/>
        <s v="Character Usually Agency."/>
        <s v="Player Really Act Friend."/>
        <s v="Billion Morning Draw."/>
        <s v="Win Central."/>
        <s v="Analysis Discuss."/>
        <s v="Red Head Window Be."/>
        <s v="Card Star Avoid Nothing."/>
        <s v="Door End Fire."/>
        <s v="Fish Evening Avoid Dark."/>
        <s v="Enter Build Citizen Rather."/>
        <s v="Choice Clearly."/>
        <s v="Image Movie Who Debate."/>
        <s v="Structure Foreign Before."/>
        <s v="How Any Federal Star."/>
        <s v="Weight Take."/>
        <s v="Economic Left Sound Cause Activity."/>
        <s v="Cup Hundred Rather."/>
        <s v="Only True Avoid Young Cup."/>
        <s v="Begin Suggest Speak."/>
        <s v="Walk Anything."/>
        <s v="Start House Ahead Raise."/>
        <s v="Democrat Cost Evidence Third."/>
        <s v="People Early Far Include Nearly."/>
        <s v="Evidence Case."/>
        <s v="Eat Yes Myself Affect Him."/>
        <s v="Name Machine Tree Maybe."/>
        <s v="Conference Five Despite."/>
        <s v="Speak Line."/>
        <s v="Yourself Wind Beyond Prevent Entire."/>
        <s v="Offer Work Home."/>
        <s v="Door Fish Scene."/>
        <s v="Agreement Red Way Nor None."/>
        <s v="My Compare Also Argue."/>
        <s v="Money A."/>
        <s v="Future Concern Sort."/>
        <s v="Against Only."/>
        <s v="Suffer Team."/>
        <s v="Relate Product Only From."/>
        <s v="Wish Run Join."/>
        <s v="Program Sport Her."/>
        <s v="Company Why Really Up."/>
        <s v="Concern Ability Reduce."/>
        <s v="Surface Side Nothing Consider."/>
        <s v="Determine Not View Cell Seat."/>
        <s v="Word Collection Those Become."/>
        <s v="Activity Decide Really Go."/>
        <s v="Answer Just."/>
        <s v="Big Look Tell Prepare."/>
        <s v="This Manage Her."/>
        <s v="Later Son Almost."/>
        <s v="End Bit Game Thousand."/>
        <s v="Natural Together."/>
        <s v="Threat Church Big Day Couple."/>
        <s v="Order Party Lot All."/>
        <s v="Enter Example Down Anyone Occur."/>
        <s v="Approach About Because."/>
        <s v="Best Deal Point."/>
        <s v="Such Final However Major."/>
        <s v="Politics Hold."/>
        <s v="Hard Knowledge Enjoy Let."/>
        <s v="Nor Character Recent."/>
        <s v="Property Space."/>
        <s v="Think Live Bad Total Research."/>
        <s v="Dinner Article Hit Mission Whole."/>
        <s v="Too Song Quality Per Build."/>
        <s v="Amount Bad Raise."/>
        <s v="We Cold Deep."/>
        <s v="Challenge Organization Floor Road Southern."/>
        <s v="Understand None."/>
        <s v="Test They There."/>
        <s v="News Need Task Mind."/>
        <s v="Onto Site Both Change Note."/>
        <s v="Pressure Occur List Common."/>
        <s v="Peace Race I."/>
        <s v="Feel Season Similar."/>
        <s v="Real Any Little Environmental."/>
        <s v="Successful Teach Range."/>
        <s v="Full Soldier."/>
        <s v="Rock Painting Become."/>
        <s v="Tree Imagine Machine."/>
        <s v="Start Middle City Find."/>
        <s v="Career Surface These Ahead."/>
        <s v="Student Economic Lead."/>
        <s v="Ever Statement Measure."/>
        <s v="Drop Major."/>
        <s v="Whether Listen Necessary."/>
        <s v="Study Else Store."/>
        <s v="Agree Anyone Take."/>
        <s v="After Sister Should Across Treatment."/>
        <s v="Positive Question Especially."/>
        <s v="Song Difference Part Wall Require."/>
        <s v="Time Surface Learn Design."/>
        <s v="Positive Participant Fear Blue As."/>
        <s v="Station However Bill Memory Production."/>
        <s v="Technology End Represent Throughout."/>
        <s v="Change She Tonight."/>
        <s v="Race Return Pretty Young."/>
        <s v="Identify Say On Yes."/>
        <s v="Risk Develop Movement Size."/>
        <s v="Feel Color Price Next."/>
        <s v="Likely Scientist."/>
        <s v="Water Tonight Pressure."/>
        <s v="Development The Inside Thought."/>
        <s v="One Less Brother."/>
        <s v="Oil Per Line Create Build."/>
        <s v="Fear Approach Take Case Customer."/>
        <s v="Decide Similar Office."/>
        <s v="Forward Would Finish Around."/>
        <s v="Throughout Would Century Television Congress."/>
        <s v="Size Sister Can Its."/>
        <s v="Investment Local Above Move."/>
        <s v="Throughout Series."/>
        <s v="Fine Bill Me Fill."/>
        <s v="Adult Above Safe."/>
        <s v="Fear Fact."/>
        <s v="Difference World Deep."/>
        <s v="Model Its Rather Card You."/>
        <s v="Seek Close Trade Speech."/>
        <s v="Mean But Represent Society Heart."/>
        <s v="Indicate Herself."/>
        <s v="Perhaps Order Answer Blue Structure."/>
        <s v="Listen Check Receive."/>
        <s v="Inside Big Minute."/>
        <s v="Store Bit Responsibility Brother."/>
        <s v="Marriage Participant."/>
        <s v="Win Group Important Civil Nature."/>
        <s v="Former Able Public Trade."/>
        <s v="Chance Bed Memory Rich."/>
        <s v="Anyone Spend Them System."/>
        <s v="Popular Lead With."/>
        <s v="International Break Surface Three."/>
        <s v="Environmental Run Head Garden Box."/>
        <s v="Professional Color Group."/>
        <s v="Even History Surface Son."/>
        <s v="Car Risk."/>
        <s v="Indeed Opportunity."/>
        <s v="Turn Both In Animal."/>
        <s v="Consider Here Grow Agreement."/>
        <s v="Actually Than Modern Season."/>
        <s v="Within Prove Full."/>
        <s v="Believe Product Eat Generation Put."/>
        <s v="Stuff Next Write."/>
        <s v="Poor Church."/>
        <s v="Thank Avoid Man Drive."/>
        <s v="Medical Nearly."/>
        <s v="Stage Bad Know Of."/>
        <s v="Language Budget Market President."/>
        <s v="Include News A Before."/>
        <s v="None Pressure Lay Future Stay."/>
        <s v="Forward Should Outside Respond."/>
        <s v="Box Service Develop Game."/>
        <s v="Effect Cultural."/>
        <s v="Miss Reduce Animal Clearly Cell."/>
        <s v="Democratic Station Course Full."/>
        <s v="Leader Operation Mean White."/>
        <s v="Unit Study."/>
        <s v="Save Network Item One Under."/>
        <s v="Thing Industry Participant Realize."/>
        <s v="Community Spring Billion Price Paper."/>
        <s v="Huge Garden Family."/>
        <s v="Include Record Security."/>
        <s v="Team Republican Very Plan Cut."/>
        <s v="Tv Car Report Window."/>
        <s v="Old Wall Report Purpose."/>
        <s v="My Pm Report Set."/>
        <s v="There Institution Actually."/>
        <s v="Herself Apply."/>
        <s v="Environment Size Worker."/>
        <s v="Style Real Far."/>
        <s v="Grow Laugh."/>
        <s v="Unit Hold."/>
        <s v="Score Night Down."/>
        <s v="Approach Season Data Than Team."/>
        <s v="Treatment Relate Positive."/>
        <s v="Cultural Right Cover Large Work."/>
        <s v="Evidence Enough Claim Suffer."/>
        <s v="While Same Budget."/>
        <s v="Letter Visit Always Up."/>
        <s v="Past Product Make Of Group."/>
        <s v="Detail Contain Attention Measure Indeed."/>
        <s v="Begin Determine Degree Forward."/>
        <s v="Despite Sell Most."/>
        <s v="Boy Generation."/>
        <s v="Either Rich Agency Might."/>
        <s v="Truth During Always Those High."/>
        <s v="Sort Knowledge Analysis Together Court."/>
        <s v="Way Cold."/>
        <s v="Account Assume Prove Similar Ten."/>
        <s v="Day Stock."/>
        <s v="Section Child."/>
        <s v="Also Available Concern Edge."/>
        <s v="Hope Brother."/>
        <s v="Start Treat Imagine Later Identify."/>
        <s v="Face Rate."/>
        <s v="As Second Animal Summer Group."/>
        <s v="She Join House."/>
        <s v="Choose Detail Section Someone."/>
        <s v="Network Never."/>
        <s v="Whether Century Quality."/>
        <s v="Above Others."/>
        <s v="Water Fight Security Tough Gas."/>
        <s v="Central Contain Pattern Education Boy."/>
        <s v="Maintain Former Campaign Pretty Beyond."/>
        <s v="Surface Usually."/>
        <s v="Popular Available Public Economy."/>
        <s v="Fish Late Pattern."/>
        <s v="Charge Note Space When Collection."/>
        <s v="Size Republican Political."/>
        <s v="Care Run There Leg."/>
        <s v="Main Board Population."/>
        <s v="Teach Cause Mrs."/>
        <s v="Baby Away Affect Medical All."/>
        <s v="If Operation Trade Necessary Myself."/>
        <s v="President Chance Hotel Through."/>
        <s v="Let Member However."/>
        <s v="Production Summer."/>
        <s v="Cell City Not Not The."/>
        <s v="Truth Thing Always Possible."/>
        <s v="Doctor Protect Military Social."/>
        <s v="Plant Event Score Official Now."/>
        <s v="Voice American Seven Discussion."/>
        <s v="Half President Structure Might."/>
        <s v="Might Good Test."/>
        <s v="Thought According Think Key."/>
        <s v="Method Exactly."/>
        <s v="Church Own Stage."/>
        <s v="Specific Result Loss Long."/>
        <s v="Claim Street Against Amount Of."/>
        <s v="Picture Always Occur."/>
        <s v="Election Conference When."/>
        <s v="These Road."/>
        <s v="Describe Paper."/>
        <s v="Color Store Over Some."/>
        <s v="Process Enough Right Garden Law."/>
        <s v="Range Step Painting Concern."/>
        <s v="Her Car Admit."/>
        <s v="Miss Have Analysis Morning."/>
        <s v="Me Brother Lot Candidate Owner."/>
        <s v="Smile High Open Scientist."/>
        <s v="International Effort."/>
        <s v="Exist Theory."/>
        <s v="Brother According Pressure Reach Firm."/>
        <s v="Country Remember Smile."/>
        <s v="Talk Interest Hand."/>
        <s v="Choice Prepare."/>
        <s v="Sense Including Six Lot."/>
        <s v="Never Effect Fill General Relationship."/>
        <s v="Security Land Record."/>
        <s v="Democrat Hundred."/>
        <s v="Pass Range Appear Home Player."/>
        <s v="Likely Outside Because."/>
        <s v="He Participant Right."/>
        <s v="Keep Cut Prevent Sound."/>
        <s v="Prevent Expert White Arm Similar."/>
        <s v="Almost Outside Middle."/>
        <s v="College Already Dream A Church."/>
        <s v="Give White Everybody Paper Create."/>
        <s v="Good House Only Military."/>
        <s v="Near Risk."/>
        <s v="Sort What."/>
        <s v="Above Company Media Next Me."/>
        <s v="Economic Kind Help Low During."/>
        <s v="Race To Television Loss."/>
        <s v="Him Small."/>
        <s v="Son Include Good."/>
        <s v="Red Enjoy."/>
        <s v="Never Condition."/>
        <s v="Human See."/>
        <s v="Despite Off Consumer Second."/>
        <s v="Say Dog Drug Enter."/>
        <s v="Strong Student Green."/>
        <s v="Turn Put Professional."/>
        <s v="When Summer He Firm Together."/>
        <s v="Make Worker Trouble."/>
        <s v="Allow Girl Team Simply Lead."/>
        <s v="Develop Office Approach Son."/>
        <s v="Least Ready Activity Decision Ok."/>
        <s v="Party Employee Nature Down."/>
        <s v="Evidence Conference Capital Office."/>
        <s v="Gas Contain Interest Industry Sell."/>
        <s v="Result Sound."/>
        <s v="Computer Matter."/>
        <s v="Task Cultural Son School."/>
        <s v="Result Size Feel No Nothing."/>
        <s v="Real Art."/>
        <s v="Stuff Benefit Seat Employee."/>
        <s v="Newspaper Special General In Go."/>
        <s v="Simple Land Bad Party."/>
        <s v="Office Power Company Sister Great."/>
        <s v="What Than Political Up Instead."/>
        <s v="Support Author Class Direction."/>
        <s v="Report Painting House."/>
        <s v="Road Product Wait."/>
        <s v="Security Minute Late Cold."/>
        <s v="Cold Billion As."/>
        <s v="Pressure Those."/>
        <s v="Approach Side Model You Billion."/>
        <s v="Easy Exist Phone."/>
        <s v="Stuff Agreement Professional Team Foot."/>
        <s v="Window Music Evening Know."/>
        <s v="Opportunity Lead See."/>
        <s v="Model Police Finally Girl."/>
        <s v="Source Kind Hand."/>
        <s v="Field A Spring."/>
        <s v="Expert Movement Reach Man."/>
        <s v="Across Involve Fall."/>
        <s v="Nature Country."/>
        <s v="House Clear Say Hope."/>
        <s v="Possible Mother Especially."/>
        <s v="Enjoy Instead Dream."/>
        <s v="Consumer Face."/>
        <s v="Laugh Red Man Fly Charge."/>
        <s v="Control Bill."/>
        <s v="Management Game."/>
        <s v="Resource Road Do."/>
        <s v="Your Less Social Form."/>
        <s v="Consider Time Economic High."/>
        <s v="Entire Hotel."/>
        <s v="Window Research His."/>
        <s v="Scene Almost Leave."/>
        <s v="Program Decade Home Which View."/>
        <s v="Rock Seat Near Business Loss."/>
        <s v="Growth Appear Project."/>
        <s v="Plan Foot Cold."/>
        <s v="Choice Side Eat Matter Rather."/>
        <s v="Build Smile Across Among Situation."/>
        <s v="Art Green Child Movie Blue."/>
        <s v="First Next Popular."/>
        <s v="Run Again Help Right."/>
        <s v="Recent Couple Cost Girl Run."/>
        <s v="Magazine Join."/>
        <s v="Trial Never Attention Choice Fast."/>
        <s v="Happen A Point Here Control."/>
        <s v="Task Simply Draw Return Probably."/>
        <s v="Couple Raise She Child."/>
        <s v="Important Focus Benefit Probably."/>
        <s v="Condition All Blood."/>
        <s v="All Politics."/>
        <s v="Moment Red Eight Hand."/>
        <s v="Us Decade."/>
        <s v="Life Police."/>
        <s v="Sea Three State Some Around."/>
        <s v="American Audience Fight War Whether."/>
        <s v="Rise Mother."/>
        <s v="Moment Eat Personal."/>
        <s v="See Indeed Black Police Group."/>
        <s v="Third Coach Congress Husband."/>
        <s v="Move Outside Value."/>
        <s v="Yard Foot He Share Issue."/>
        <s v="Drive Nation Heart Nearly Season."/>
        <s v="Language However Risk Work."/>
        <s v="Career Three According Worker Democrat."/>
        <s v="Sign Wall."/>
        <s v="Enter Threat Economic."/>
        <s v="Memory Number Occur Behind Leave."/>
        <s v="Organization Feel."/>
        <s v="Society Common Stay Ready."/>
        <s v="Begin Hundred Truth."/>
        <s v="Bad Argue Side Girl."/>
        <s v="Us Building Side Section."/>
        <s v="Him Fight American Music Change."/>
        <s v="Check Purpose Young."/>
        <s v="Live Seat."/>
        <s v="Energy Huge Its Recently."/>
        <s v="Offer Bed It Skill Challenge."/>
        <s v="Drug Entire Involve."/>
        <s v="Couple General Pretty Show."/>
        <s v="Current Health Serious."/>
        <s v="Both Including."/>
        <s v="Nice Maintain Present Cultural."/>
        <s v="Pattern Wrong Kind Certainly."/>
        <s v="Science Drug."/>
        <s v="Add Really Born."/>
        <s v="Age Decade Mrs Data."/>
        <s v="Nature Performance Yeah."/>
        <s v="On Professional Analysis Color."/>
        <s v="Smile Peace Apply."/>
        <s v="Home Even."/>
        <s v="Affect Test."/>
        <s v="Woman Meet Report."/>
        <s v="Term Mother Cost May."/>
        <s v="Unit Again Easy Morning Four."/>
        <s v="Adult Range Green."/>
        <s v="You Without Every."/>
        <s v="Election Hit Yourself Wrong Want."/>
        <s v="Minute Question Their Rather."/>
        <s v="Charge Today Prevent."/>
        <s v="Of Interview Fine."/>
        <s v="My Deal Catch Must."/>
        <s v="Finally Relate Model."/>
        <s v="Yet Wish Certain Usually."/>
        <s v="Attack Mouth Rest Contain."/>
        <s v="She They."/>
        <s v="Field Seat Start Pm."/>
        <s v="Single Blood Continue."/>
        <s v="Note Discuss Discussion Reach Grow."/>
        <s v="Maybe Painting Republican."/>
        <s v="Allow Share Address."/>
        <s v="System Man Case."/>
        <s v="Development Provide Dark Daughter."/>
        <s v="Particularly Score Order Modern."/>
        <s v="If Among Save Herself."/>
        <s v="Term Majority Foot Leader."/>
        <s v="Body Lead There There Early."/>
        <s v="Worker Always Hold Share."/>
        <s v="Fact Huge Fight."/>
        <s v="Career Including Late Condition Opportunity."/>
        <s v="Coach Family Try Ready."/>
        <s v="Stop Later Reveal Both."/>
        <s v="Bed Food Possible Represent."/>
        <s v="Analysis Color Friend The."/>
        <s v="Religious Risk Window Partner Civil."/>
        <s v="Before Relationship Plant."/>
        <s v="Than Condition Republican."/>
        <s v="Together Whether About."/>
        <s v="Finally Shoulder Land."/>
        <s v="Learn Talk."/>
        <s v="Part Management."/>
        <s v="Process Law Kind Over According."/>
        <s v="People Newspaper Stay."/>
        <s v="Study Fear Turn Any Indicate."/>
        <s v="Challenge President Already."/>
        <s v="Concern Lay Often Use Behavior."/>
        <s v="Public Particularly Reality."/>
        <s v="Happy Her Attack Interview."/>
        <s v="Fall Care."/>
        <s v="Money Modern Receive Partner."/>
        <s v="Role Pick Would Low Read."/>
        <s v="Participant First Moment Yet."/>
        <s v="Pass Market Role."/>
        <s v="Space This Discussion Fact."/>
        <s v="Brother Let."/>
        <s v="Son Yourself Increase."/>
        <s v="Night Point Action Cut."/>
        <s v="So Film Media."/>
        <s v="Box Four."/>
        <s v="Pattern Ahead Compare Form Full."/>
        <s v="Something Population Loss Physical."/>
        <s v="Leg Sport Until Argue."/>
        <s v="North Question New."/>
        <s v="Officer Forward Trouble."/>
        <s v="Wide Exactly."/>
        <s v="Worker Phone Success Number."/>
        <s v="Even Beautiful."/>
        <s v="Organization Ten Seem."/>
        <s v="Later Week Democratic Few."/>
        <s v="Size Sing Tree Kitchen."/>
        <s v="Toward Child Future Low."/>
        <s v="Simply Century The."/>
        <s v="Day Already Hold."/>
        <s v="About Usually."/>
        <s v="Officer Fine."/>
        <s v="Level Animal Minute Probably."/>
        <s v="Customer Expert Mother Significant."/>
        <s v="Chance Event Address."/>
        <s v="Bill My Near Even Wall."/>
        <s v="Each Author Party Full Kitchen."/>
        <s v="Likely Push."/>
        <s v="Approach Interview Condition Other."/>
        <s v="Nothing Behavior Sort Recognize."/>
        <s v="Green Forward Cup Serve Speak."/>
        <s v="Financial Popular Short Like."/>
        <s v="Technology Pay Tree."/>
        <s v="Record Professor Small."/>
        <s v="Should Page Camera."/>
        <s v="Maintain Assume Both Long."/>
        <s v="Stage Someone For Power."/>
        <s v="At Decade Really Issue."/>
        <s v="Leave Opportunity Draw During City."/>
        <s v="Skin Name Door Production Back."/>
        <s v="Boy Other Foot Best."/>
        <s v="Final Image Our."/>
        <s v="Management Produce Bed Stage."/>
        <s v="Some Quickly Truth View Response."/>
        <s v="Factor Past Language Day Theory."/>
        <s v="Serious Produce."/>
        <s v="Summer System Artist Too."/>
        <s v="Old Particularly."/>
        <s v="Reflect Star."/>
        <s v="Technology Tend."/>
        <s v="Reduce Hour Fish Him."/>
        <s v="Nation Production Little Could."/>
        <s v="Style Child Young Prove."/>
        <s v="Author Administration."/>
        <s v="Window Career Case South."/>
        <s v="Us Perhaps Lawyer Interest Star."/>
        <s v="Difficult Interesting Account Marriage."/>
        <s v="Especially Unit Office Almost."/>
        <s v="Let Back Three."/>
        <s v="Low Happy Oil Which Bag."/>
        <s v="Something Fine Apply Gas Sing."/>
        <s v="Line Score Whether."/>
        <s v="Mention Light Safe Inside."/>
        <s v="Cold Reason Our."/>
        <s v="Employee Picture Official Of Prevent."/>
        <s v="Agree Machine Camera Baby Six."/>
        <s v="Past Every Either."/>
        <s v="Company Option Character Land Space."/>
        <s v="Machine Son Television."/>
        <s v="Whose Other."/>
        <s v="Sell Include Himself Produce."/>
        <s v="Official Success Approach."/>
        <s v="Apply Less."/>
        <s v="Live Way Two."/>
        <s v="Raise Hope Enjoy Most."/>
        <s v="Eye Something."/>
        <s v="Particular Present Evening Establish."/>
        <s v="Which Raise American Truth."/>
        <s v="Pressure Hospital Significant."/>
        <s v="Side Mind Question Year Finish."/>
        <s v="Story Activity."/>
        <s v="Billion Land Detail Exist Cover."/>
        <s v="Begin Voice Prevent Structure Wear."/>
        <s v="Beat Painting Heavy."/>
        <s v="To Receive Education."/>
        <s v="Realize Property Show Either."/>
        <s v="Police Two."/>
        <s v="Western Enough Key."/>
        <s v="Since Him Four."/>
        <s v="Shoulder Despite Poor Tree Resource."/>
        <s v="Particular Condition Man."/>
        <s v="Authority Number."/>
        <s v="Affect Marriage Present A."/>
        <s v="Four Field Area Young."/>
        <s v="Difficult His Ready Sister Building."/>
        <s v="Movement Which Ball Least."/>
        <s v="Entire Record Toward Off."/>
        <s v="Long Identify Road Speech."/>
        <s v="Computer Always His."/>
        <s v="Receive To Piece."/>
        <s v="Be Plan Same Cause."/>
        <s v="As Music Film Move."/>
        <s v="Rest Or."/>
        <s v="Already Argue."/>
        <s v="Brother Southern Project Learn."/>
        <s v="Scientist Do Author."/>
        <s v="President Likely Truth Animal."/>
        <s v="Common Anyone."/>
        <s v="Box Organization."/>
        <s v="Lay Color."/>
        <s v="Source International."/>
        <s v="Building Range National Focus."/>
        <s v="Or Friend."/>
        <s v="Center Indeed Recent."/>
        <s v="Partner Sing Administration Main According."/>
        <s v="Just Understand American."/>
        <s v="Religious Order."/>
        <s v="Really Society Live Camera."/>
        <s v="Conference Matter Wear Physical Site."/>
        <s v="Mission Include Visit."/>
        <s v="Above Dog Brother Morning."/>
        <s v="Gun Seven Music Despite Show."/>
        <s v="Apply Both Chance."/>
        <s v="Computer Prove Amount Population."/>
        <s v="Itself Free Source."/>
        <s v="Bit Appear."/>
        <s v="Citizen Ahead Method."/>
        <s v="Return Or For."/>
        <s v="Discover Body Direction Down."/>
        <s v="Heart Determine Likely."/>
        <s v="Three Certain."/>
        <s v="Hold Carry Rest."/>
        <s v="Dark Camera Realize."/>
        <s v="Carry Surface Learn."/>
        <s v="Detail Far Church Some."/>
        <s v="Wife Talk Beat Tax Majority."/>
        <s v="Individual Analysis."/>
        <s v="Its Develop Until Watch."/>
        <s v="List Leg Address Into Their."/>
        <s v="Almost Most Look Something."/>
        <s v="Manager Bar Send Really."/>
        <s v="Look Fight."/>
        <s v="Car Fast Positive."/>
        <s v="Smile Have Less."/>
        <s v="Section Agency Lawyer Sign Them."/>
        <s v="Audience Throw Four Allow International."/>
        <s v="My Some Skin Ball Thing."/>
        <s v="War Push Thousand Book Half."/>
        <s v="Hand Possible Relate Night."/>
        <s v="Wonder Draw Box."/>
        <s v="That Reflect Send Set Fly."/>
        <s v="Money But Report Question."/>
        <s v="Quite Everyone As Generation."/>
        <s v="Later Happy Pull."/>
        <s v="Throughout Leader Bag."/>
        <s v="When Baby Clearly."/>
        <s v="Many Themselves Minute."/>
        <s v="Indicate Radio Use."/>
        <s v="Information Scene Again Country."/>
        <s v="Strong Mind From."/>
        <s v="Knowledge Fight Car Smile Commercial."/>
        <s v="Pretty Skin Main Program."/>
        <s v="Machine Wife Show."/>
        <s v="Good Lay Coach."/>
        <s v="Draw American First."/>
        <s v="Expect Win Stuff Realize Project."/>
        <s v="Employee Continue None Alone."/>
        <s v="Challenge Large Wish Move."/>
        <s v="Identify Material."/>
        <s v="Until Choose Wife National."/>
        <s v="Positive Far Time Wide."/>
        <s v="Rule Too."/>
        <s v="Son Rock Two."/>
        <s v="Bring Agent Pay Detail Group."/>
        <s v="Part Crime."/>
        <s v="Sit Short Cultural."/>
        <s v="Support Quality Whatever Wish Hour."/>
        <s v="Owner Memory Argue Project."/>
        <s v="General Final Knowledge."/>
        <s v="Respond Into History."/>
        <s v="Democratic Thousand."/>
        <s v="Structure Our Century."/>
        <s v="Eye South Wife Interest."/>
        <s v="Write Moment Friend Value."/>
        <s v="According Police."/>
        <s v="Company Left Nothing Trip."/>
        <s v="Fight Nice Less Agree Able."/>
        <s v="Strategy Face Make."/>
        <s v="What Strong Line."/>
        <s v="Conference Trade Population Agreement."/>
        <s v="Than Physical Live Reason."/>
        <s v="Yes At Seat Ok."/>
        <s v="Mention Offer Suddenly Clear."/>
        <s v="Evening Information."/>
        <s v="Floor There Career."/>
        <s v="Face Morning."/>
        <s v="Create Physical Share Out Cold."/>
        <s v="Step Rate Feeling Rate."/>
        <s v="Move Goal."/>
        <s v="Carry Example."/>
        <s v="Future Treat Bill Choice."/>
        <s v="Somebody Next Ready."/>
        <s v="Republican Reduce Sort Individual Trouble."/>
        <s v="Report Agreement Sport."/>
        <s v="Task Central Dinner."/>
        <s v="Type Look Find."/>
        <s v="Stage Threat Our."/>
        <s v="Affect Machine."/>
        <s v="Candidate Bad Real."/>
        <s v="Arrive Budget Education At Property."/>
        <s v="Cultural Allow."/>
        <s v="Turn Day Top."/>
        <s v="Ahead Certainly Second Everyone."/>
        <s v="Goal Talk Sit Party."/>
        <s v="Attention Standard Shake More Respond."/>
        <s v="Top Mr Wind."/>
        <s v="Pull Blue Strong Wonder."/>
        <s v="Turn Surface Listen."/>
        <s v="Method Imagine Seven."/>
        <s v="Letter Mind Many."/>
        <s v="News American Foreign."/>
        <s v="Network Fact Talk."/>
        <s v="Exist Outside Find Wish."/>
        <s v="Thus Sort."/>
        <s v="Actually Purpose Public."/>
        <s v="Mission Put Budget House."/>
        <s v="Ask Window Full."/>
        <s v="Do Interesting Material."/>
        <s v="Event Smile Popular Hundred Live."/>
        <s v="Memory Challenge Lawyer Business."/>
        <s v="Discuss Wall Ahead Scene."/>
        <s v="Society Dark Product Make."/>
        <s v="Question Will Him Quickly."/>
        <s v="Perform Benefit Baby."/>
        <s v="Himself Fire Heavy."/>
        <s v="Gas Teacher National Weight All."/>
        <s v="Allow News."/>
        <s v="Man Care Resource."/>
        <s v="Notice Make."/>
        <s v="Occur Live Take Media Hot."/>
        <s v="Wife Pay Good Within Fly."/>
        <s v="And Student Give Score Agree."/>
        <s v="Doctor Fine Be."/>
        <s v="Boy College Mrs."/>
        <s v="Best Generation Group Goal."/>
        <s v="Price Institution Method Inside."/>
        <s v="Onto Worry Help Hope."/>
        <s v="Space Beyond."/>
        <s v="Market Specific Property Coach."/>
        <s v="Behind Front Attack Song Little."/>
        <s v="Degree Enter Father Of Source."/>
        <s v="Wide Cut Player Wind."/>
        <s v="Somebody Prepare Few Sound."/>
        <s v="Table Trade Various Risk Art."/>
        <s v="Finish Increase Economy Middle Public."/>
        <s v="Thing Physical Might."/>
        <s v="Material Produce Station Visit Environmental."/>
        <s v="Leg Drive Second She."/>
        <s v="Five Store Ask Data."/>
        <s v="Statement Position Either."/>
        <s v="Draw Change Agree Someone."/>
        <s v="Magazine Yard Instead Town."/>
        <s v="Evening Ahead Smile."/>
        <s v="Own Test Too Imagine."/>
        <s v="Compare System White Magazine After."/>
        <s v="However Style."/>
        <s v="Born Same Usually."/>
        <s v="Wear Use Edge This Draw."/>
        <s v="Forget Once Hope Security."/>
        <s v="Design Blood Degree Ever."/>
        <s v="Television Argue Mouth."/>
        <s v="Nation Little East Everyone."/>
        <s v="Need Finally When."/>
        <s v="Real Small."/>
        <s v="Little Happy Final Population."/>
        <s v="Until Truth Feeling View."/>
        <s v="Movement Door Kind."/>
        <s v="Decision Three Trouble."/>
        <s v="Smile Ever Bag Single."/>
        <s v="Say Unit Four Institution."/>
        <s v="Recognize Media Goal."/>
        <s v="Law Agree Appear Political."/>
        <s v="Book Economic."/>
        <s v="Able Customer Figure."/>
        <s v="Rate Society Floor Long Same."/>
        <s v="Increase Consider."/>
        <s v="Reach Step Son."/>
        <s v="Difference Way Type Positive Phone."/>
        <s v="Cup Red Collection Husband."/>
        <s v="Employee Become Happy Water Bring."/>
        <s v="Significant Up Still Management."/>
        <s v="Course Technology Site."/>
        <s v="High Issue Deal Democratic."/>
        <s v="Industry Impact Certainly."/>
        <s v="Dog Late Eat."/>
        <s v="Beat Light The Window."/>
        <s v="Require Remain Save."/>
        <s v="Believe Arrive."/>
        <s v="Likely Great Paper."/>
        <s v="Provide Car Throughout American."/>
        <s v="Effect People."/>
        <s v="College Manage Fund."/>
        <s v="Bed Report Item."/>
        <s v="Finish Without."/>
        <s v="Security Unit Executive."/>
        <s v="Stop Unit Might Job Close."/>
        <s v="New Type Pm."/>
        <s v="Country Approach."/>
        <s v="Like Clear."/>
        <s v="Break Time Manager Kid."/>
        <s v="Leader Both Rest Challenge."/>
        <s v="Data Exist."/>
        <s v="State None Production Defense Your."/>
        <s v="Short Congress Turn East Marriage."/>
        <s v="Ago Race Quite Hour."/>
        <s v="Child Ball Store Process."/>
        <s v="Western Order Accept Wide Prevent."/>
        <s v="Water Yourself Trade Someone."/>
        <s v="Tell Soon Executive."/>
        <s v="Natural Own."/>
        <s v="Effort Drive Side Human."/>
        <s v="Clear Single Expect."/>
        <s v="Fear Song Save."/>
        <s v="Environmental Outside Bed Institution."/>
        <s v="Capital Program Story Mention Majority."/>
        <s v="Control Piece Behavior Message Wind."/>
        <s v="Us Money Positive."/>
        <s v="Life Bad Soon."/>
        <s v="Worker Range Feel."/>
        <s v="Into Notice Necessary True Message."/>
        <s v="Including Let Result Spend."/>
        <s v="One Shoulder Administration."/>
        <s v="Skill Successful And."/>
        <s v="Finish Right Serious."/>
        <s v="Space Game Truth Special Decision."/>
        <s v="Else Pull Its Adult House."/>
        <s v="Pretty Least If."/>
        <s v="Peace Wind Guess."/>
        <s v="Because Career Course."/>
        <s v="Teacher Decide Possible."/>
        <s v="Success Teach Mrs Beat."/>
        <s v="Listen Against Coach."/>
        <s v="White Likely Teacher One."/>
        <s v="Notice Street Anything."/>
        <s v="Piece Require."/>
        <s v="Say Other Never Fact."/>
        <s v="Main Opportunity Particularly Question."/>
        <s v="Research Month Instead."/>
        <s v="As Throughout Individual List Manager."/>
        <s v="Recently Again Explain Court."/>
        <s v="Discussion Detail Training Fund."/>
        <s v="Third Rich Hospital."/>
        <s v="Somebody Son Suddenly Perform."/>
        <s v="Project Can."/>
        <s v="Doctor News Yourself."/>
        <s v="Paper Beyond Indeed."/>
        <s v="Ground City Still."/>
        <s v="Southern Front."/>
        <s v="Environment Character Real Middle Prove."/>
        <s v="Dinner No Main Year Size."/>
        <s v="Sometimes While Sense Window."/>
        <s v="Among Black Picture That Treat."/>
        <s v="Remain Seven Marriage."/>
        <s v="Positive Free Case."/>
        <s v="Wide Shoulder According Strong."/>
        <s v="Expert Commercial Entire Resource."/>
        <s v="Picture Early Send Morning."/>
        <s v="Soon Including Important."/>
        <s v="Some Gun Ahead Certainly Act."/>
        <s v="Be Fire."/>
        <s v="Article Service Produce Political."/>
        <s v="Within Woman."/>
        <s v="Information Though Red."/>
        <s v="Land Day Name Small."/>
        <s v="Training Account Evidence Month."/>
        <s v="Thought Sit Identify Culture."/>
        <s v="Yeah Exist Behavior Necessary Miss."/>
        <s v="Already Free."/>
        <s v="Rule Success."/>
        <s v="Agreement Someone."/>
        <s v="Strategy Fight Institution."/>
        <s v="Medical Buy Series Walk Large."/>
        <s v="Law Work."/>
        <s v="Research Visit Program Suddenly Doctor."/>
        <s v="Mind Easy Foreign Old."/>
        <s v="Thousand Live Land Hard."/>
        <s v="Better Republican Stock Bank."/>
        <s v="Project Spring Of."/>
        <s v="You Ready Way Rule."/>
        <s v="Open Million House Enough."/>
        <s v="Certain Camera Represent."/>
        <s v="Tell Brother Defense List Second."/>
        <s v="Tv Budget System Book."/>
        <s v="Face Mission Brother Figure Hear."/>
        <s v="Agreement Central Six Instead."/>
        <s v="Democratic Standard Major."/>
        <s v="Give That Individual Of Not."/>
        <s v="Little Result Paper Seven."/>
        <s v="Position Tend Religious."/>
        <s v="Seven Project Chance Road."/>
        <s v="Professor Important Do House Must."/>
        <s v="My Serious Whatever Miss Seek."/>
        <s v="Someone Religious Night Buy Nice."/>
        <s v="Build View."/>
        <s v="Ever Day."/>
        <s v="Be Move Fly Open."/>
        <s v="Fish Either Boy Between Collection."/>
        <s v="Eight Bed Fill."/>
        <s v="Future Congress."/>
        <s v="Hope Floor Include."/>
        <s v="Arrive Which Consider."/>
        <s v="Heart Still Building."/>
        <s v="We Especially Five Network."/>
        <s v="Sell Only Manage."/>
        <s v="Ahead Plant Trial Affect."/>
        <s v="Push East Never Size Fight."/>
        <s v="Base Player Data Whose."/>
        <s v="World Site Mr Interest Treatment."/>
        <s v="A Let."/>
        <s v="Yourself Successful Defense Subject."/>
        <s v="Claim Move."/>
        <s v="A Value Lot."/>
        <s v="Bed Recognize Store."/>
        <s v="There Decision Measure."/>
        <s v="Play Woman Remain Event."/>
        <s v="Including Time Reflect."/>
        <s v="Decision Where Foreign Trial."/>
        <s v="Participant Above."/>
        <s v="Good Spend Still."/>
        <s v="Ball Theory Prepare Much Throughout."/>
        <s v="View Know Develop After."/>
        <s v="Concern Should Recent Across."/>
        <s v="Course Staff Personal Space."/>
        <s v="Woman Whose Already."/>
        <s v="Decide Cultural Start How Thank."/>
        <s v="Management Necessary Process Not."/>
        <s v="Pass Quite Third Ability Interview."/>
        <s v="Talk Thing Rock Ever Summer."/>
        <s v="Assume Campaign Assume."/>
        <s v="Item Yet Ever Quite."/>
        <s v="Guess Service This Different."/>
        <s v="Mother First Hot Free."/>
        <s v="Wrong Difficult."/>
        <s v="True Culture."/>
        <s v="As Personal Agreement."/>
        <s v="Or Phone."/>
        <s v="East List When."/>
        <s v="Mind Door Authority Outside."/>
        <s v="Personal Often."/>
        <s v="True Help."/>
        <s v="Artist Sort Area."/>
        <s v="Big Argue."/>
        <s v="Sure I Pay."/>
        <s v="Ten Skin Perhaps."/>
        <s v="Less Into Per Big."/>
        <s v="Military Onto Blue Activity."/>
        <s v="Smile Cover Of Pm Eight."/>
        <s v="Right Know During Someone."/>
        <s v="Find Job Where."/>
        <s v="On Must Certainly."/>
        <s v="Price Certain Down Standard Nice."/>
        <s v="Owner Fact Wife."/>
        <s v="Country Little Reality Level."/>
        <s v="Gas With Policy Cut."/>
        <s v="Not Friend Federal Forget Bit."/>
        <s v="Detail About Development Discover."/>
        <s v="Lose Shoulder Spring."/>
        <s v="Hundred Step According."/>
        <s v="Group Never."/>
        <s v="Key Place Tree."/>
        <s v="Wish Current."/>
        <s v="Despite Energy Company."/>
        <s v="Condition Again Successful."/>
        <s v="Story Case."/>
        <s v="Very Figure Drive Special."/>
        <s v="With Young Think There Assume."/>
        <s v="Some Court Her."/>
        <s v="Outside With Each Animal."/>
        <s v="Picture Evidence."/>
        <s v="Take Family Chance."/>
        <s v="Meet Seem Population."/>
        <s v="Why Though Decide Bank Likely."/>
        <s v="Material Less Focus Hear."/>
        <s v="Listen Ok Point So."/>
        <s v="Detail Data Tell."/>
        <s v="Fill Thousand Number."/>
        <s v="Nearly Care Base."/>
        <s v="Goal Once Let Perform International."/>
        <s v="Doctor Population Grow Bar."/>
        <s v="Important Source First Him."/>
        <s v="National Back Everybody Direction Budget."/>
        <s v="National Free."/>
        <s v="Few Spring Raise."/>
        <s v="Across Federal State."/>
        <s v="State Serious Activity Pressure."/>
        <s v="Relationship Your Your."/>
        <s v="Dinner Rich Decide Do."/>
        <s v="Show Recently Decide Last."/>
        <s v="Serious Reveal Left Social Fine."/>
        <s v="Hear Officer."/>
        <s v="Different International Sell Several."/>
        <s v="For Age Size."/>
        <s v="With Yes Nothing."/>
        <s v="Wall Act Special."/>
        <s v="Board Notice Later Thus."/>
        <s v="Woman Daughter Hospital Move."/>
        <s v="Bit Need Allow."/>
        <s v="Day Fact Modern."/>
        <s v="Cost Attorney."/>
        <s v="Happy Action."/>
        <s v="Hospital Writer Can Industry."/>
        <s v="Western Tend Candidate Day."/>
        <s v="City Offer Financial Data."/>
        <s v="Cut Yard Knowledge."/>
        <s v="Say Explain."/>
        <s v="Red Republican Father Party."/>
        <s v="Space Moment Travel These Least."/>
        <s v="Eat Tonight Run Leader."/>
        <s v="Believe Recognize Analysis Those Citizen."/>
        <s v="Project At Risk."/>
        <s v="In Seven Building Hard."/>
        <s v="Short For Late Education."/>
        <s v="Left Available."/>
        <s v="Gas Human Create Also."/>
        <s v="Remember Carry."/>
        <s v="Likely Evidence Claim."/>
        <s v="Leave Bar Prevent Require."/>
        <s v="Beyond Family Movement Hospital Back."/>
        <s v="Child Group Describe."/>
        <s v="Democratic Recent Student Specific Political."/>
        <s v="Real Know Our Any."/>
        <s v="Up Hear Draw."/>
        <s v="Instead Writer."/>
        <s v="Right Analysis Mention."/>
        <s v="No Couple Debate Must."/>
        <s v="Quite As When."/>
        <s v="Pressure Activity Defense Detail."/>
        <s v="Discussion Black Follow."/>
      </sharedItems>
    </cacheField>
    <cacheField name="Category" numFmtId="49">
      <sharedItems/>
    </cacheField>
    <cacheField name="Category_Clean" numFmtId="0">
      <sharedItems count="10">
        <s v="Food &amp; Drink"/>
        <s v="Utilities"/>
        <s v="Rent"/>
        <s v="Investment"/>
        <s v="Shopping"/>
        <s v="Other"/>
        <s v="Entertainment"/>
        <s v="Health &amp; Fitness"/>
        <s v="Salary"/>
        <s v="Travel"/>
      </sharedItems>
    </cacheField>
    <cacheField name="Amount" numFmtId="2">
      <sharedItems/>
    </cacheField>
    <cacheField name="Type" numFmtId="49">
      <sharedItems count="2">
        <s v="Expense"/>
        <s v="Income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0-01-02T00:00:00"/>
    <s v="Score each."/>
    <x v="0"/>
    <s v="Food &amp; Drink"/>
    <x v="0"/>
    <s v="1485.69"/>
    <x v="0"/>
    <x v="0"/>
    <x v="0"/>
  </r>
  <r>
    <d v="2020-01-02T00:00:00"/>
    <s v="Quality throughout."/>
    <x v="1"/>
    <s v="Utilities"/>
    <x v="1"/>
    <s v="1475.58"/>
    <x v="0"/>
    <x v="0"/>
    <x v="0"/>
  </r>
  <r>
    <d v="2020-01-04T00:00:00"/>
    <s v="Instead ahead despite measure ago."/>
    <x v="2"/>
    <s v="Rent"/>
    <x v="2"/>
    <s v="1185.08"/>
    <x v="0"/>
    <x v="0"/>
    <x v="0"/>
  </r>
  <r>
    <d v="2020-01-05T00:00:00"/>
    <s v="Information last everything thank serve."/>
    <x v="3"/>
    <s v="Investment"/>
    <x v="3"/>
    <s v="2291.0"/>
    <x v="1"/>
    <x v="0"/>
    <x v="0"/>
  </r>
  <r>
    <d v="2020-01-13T00:00:00"/>
    <s v="Future choice whatever from."/>
    <x v="4"/>
    <s v="Food &amp; Drink"/>
    <x v="0"/>
    <s v="1126.88"/>
    <x v="0"/>
    <x v="0"/>
    <x v="0"/>
  </r>
  <r>
    <d v="2020-01-14T00:00:00"/>
    <s v="Benefit suggest page southern."/>
    <x v="5"/>
    <s v="Shopping"/>
    <x v="4"/>
    <s v="448.68"/>
    <x v="0"/>
    <x v="0"/>
    <x v="0"/>
  </r>
  <r>
    <d v="2020-01-18T00:00:00"/>
    <s v="By two bad fall pick."/>
    <x v="6"/>
    <s v="Food &amp; Drink"/>
    <x v="0"/>
    <s v="1520.03"/>
    <x v="0"/>
    <x v="0"/>
    <x v="0"/>
  </r>
  <r>
    <d v="2020-01-19T00:00:00"/>
    <s v="Court attorney product significant world."/>
    <x v="7"/>
    <s v="Other"/>
    <x v="5"/>
    <s v="3287.0"/>
    <x v="1"/>
    <x v="0"/>
    <x v="0"/>
  </r>
  <r>
    <d v="2020-01-21T00:00:00"/>
    <s v="Herself law."/>
    <x v="8"/>
    <s v="Entertainment"/>
    <x v="6"/>
    <s v="1914.85"/>
    <x v="0"/>
    <x v="0"/>
    <x v="0"/>
  </r>
  <r>
    <d v="2020-01-25T00:00:00"/>
    <s v="Play move each left establish."/>
    <x v="9"/>
    <s v="Health &amp; Fitness"/>
    <x v="7"/>
    <s v="1211.41"/>
    <x v="0"/>
    <x v="0"/>
    <x v="0"/>
  </r>
  <r>
    <d v="2020-01-25T00:00:00"/>
    <s v="Have decide environment."/>
    <x v="10"/>
    <s v="Rent"/>
    <x v="2"/>
    <s v="766.06"/>
    <x v="0"/>
    <x v="0"/>
    <x v="0"/>
  </r>
  <r>
    <d v="2020-01-26T00:00:00"/>
    <s v="Range successful simply."/>
    <x v="11"/>
    <s v="Salary"/>
    <x v="8"/>
    <s v="1077.09"/>
    <x v="0"/>
    <x v="0"/>
    <x v="0"/>
  </r>
  <r>
    <d v="2020-01-29T00:00:00"/>
    <s v="Source husband."/>
    <x v="12"/>
    <s v="Shopping"/>
    <x v="4"/>
    <s v="166.81"/>
    <x v="0"/>
    <x v="0"/>
    <x v="0"/>
  </r>
  <r>
    <d v="2020-01-30T00:00:00"/>
    <s v="Tree note responsibility."/>
    <x v="13"/>
    <s v="Health &amp; Fitness"/>
    <x v="7"/>
    <s v="1158.93"/>
    <x v="0"/>
    <x v="0"/>
    <x v="0"/>
  </r>
  <r>
    <d v="2020-01-31T00:00:00"/>
    <s v="How trip learn enter."/>
    <x v="14"/>
    <s v="Food &amp; Drink"/>
    <x v="0"/>
    <s v="1325.91"/>
    <x v="0"/>
    <x v="0"/>
    <x v="0"/>
  </r>
  <r>
    <d v="2020-01-31T00:00:00"/>
    <s v="Much section investment on gun."/>
    <x v="15"/>
    <s v="Rent"/>
    <x v="2"/>
    <s v="1712.08"/>
    <x v="0"/>
    <x v="0"/>
    <x v="0"/>
  </r>
  <r>
    <d v="2020-01-31T00:00:00"/>
    <s v="Management sense technology check civil."/>
    <x v="16"/>
    <s v="Shopping"/>
    <x v="4"/>
    <s v="563.17"/>
    <x v="0"/>
    <x v="0"/>
    <x v="0"/>
  </r>
  <r>
    <d v="2020-02-02T00:00:00"/>
    <s v="As high you more wife."/>
    <x v="17"/>
    <s v="Health &amp; Fitness"/>
    <x v="7"/>
    <s v="333.68"/>
    <x v="0"/>
    <x v="1"/>
    <x v="0"/>
  </r>
  <r>
    <d v="2020-02-04T00:00:00"/>
    <s v="Race mr."/>
    <x v="18"/>
    <s v="Travel"/>
    <x v="9"/>
    <s v="1406.62"/>
    <x v="0"/>
    <x v="1"/>
    <x v="0"/>
  </r>
  <r>
    <d v="2020-02-05T00:00:00"/>
    <s v="Seven medical blood personal."/>
    <x v="19"/>
    <s v="Investment"/>
    <x v="3"/>
    <s v="1838.0"/>
    <x v="1"/>
    <x v="1"/>
    <x v="0"/>
  </r>
  <r>
    <d v="2020-02-05T00:00:00"/>
    <s v="Born itself law west."/>
    <x v="20"/>
    <s v="Rent"/>
    <x v="2"/>
    <s v="1222.17"/>
    <x v="0"/>
    <x v="1"/>
    <x v="0"/>
  </r>
  <r>
    <d v="2020-02-07T00:00:00"/>
    <s v="Food affect upon these story."/>
    <x v="21"/>
    <s v="Entertainment"/>
    <x v="6"/>
    <s v="1372.38"/>
    <x v="0"/>
    <x v="1"/>
    <x v="0"/>
  </r>
  <r>
    <d v="2020-02-07T00:00:00"/>
    <s v="Current hear claim well two."/>
    <x v="22"/>
    <s v="Travel"/>
    <x v="9"/>
    <s v="1979.15"/>
    <x v="0"/>
    <x v="1"/>
    <x v="0"/>
  </r>
  <r>
    <d v="2020-02-08T00:00:00"/>
    <s v="Around there water."/>
    <x v="23"/>
    <s v="Food &amp; Drink"/>
    <x v="0"/>
    <s v="465.81"/>
    <x v="0"/>
    <x v="1"/>
    <x v="0"/>
  </r>
  <r>
    <d v="2020-02-08T00:00:00"/>
    <s v="Staff within mouth call."/>
    <x v="24"/>
    <s v="Other"/>
    <x v="5"/>
    <s v="3786.0"/>
    <x v="1"/>
    <x v="1"/>
    <x v="0"/>
  </r>
  <r>
    <d v="2020-02-09T00:00:00"/>
    <s v="Close month parent who up."/>
    <x v="25"/>
    <s v="Entertainment"/>
    <x v="6"/>
    <s v="1827.14"/>
    <x v="0"/>
    <x v="1"/>
    <x v="0"/>
  </r>
  <r>
    <d v="2020-02-11T00:00:00"/>
    <s v="Human public health."/>
    <x v="26"/>
    <s v="Health &amp; Fitness"/>
    <x v="7"/>
    <s v="433.13"/>
    <x v="0"/>
    <x v="1"/>
    <x v="0"/>
  </r>
  <r>
    <d v="2020-02-13T00:00:00"/>
    <s v="Building different full open."/>
    <x v="27"/>
    <s v="Salary"/>
    <x v="8"/>
    <s v="294.31"/>
    <x v="0"/>
    <x v="1"/>
    <x v="0"/>
  </r>
  <r>
    <d v="2020-02-15T00:00:00"/>
    <s v="Detail audience piece director town."/>
    <x v="28"/>
    <s v="Other"/>
    <x v="5"/>
    <s v="4009.0"/>
    <x v="1"/>
    <x v="1"/>
    <x v="0"/>
  </r>
  <r>
    <d v="2020-02-16T00:00:00"/>
    <s v="Method everything."/>
    <x v="29"/>
    <s v="Shopping"/>
    <x v="4"/>
    <s v="730.37"/>
    <x v="0"/>
    <x v="1"/>
    <x v="0"/>
  </r>
  <r>
    <d v="2020-02-16T00:00:00"/>
    <s v="Much rich think."/>
    <x v="30"/>
    <s v="Utilities"/>
    <x v="1"/>
    <s v="1023.96"/>
    <x v="0"/>
    <x v="1"/>
    <x v="0"/>
  </r>
  <r>
    <d v="2020-02-18T00:00:00"/>
    <s v="Drug list imagine behind."/>
    <x v="31"/>
    <s v="Investment"/>
    <x v="3"/>
    <s v="1398.0"/>
    <x v="1"/>
    <x v="1"/>
    <x v="0"/>
  </r>
  <r>
    <d v="2020-02-19T00:00:00"/>
    <s v="Interest level rock pull."/>
    <x v="32"/>
    <s v="Investment"/>
    <x v="3"/>
    <s v="3958.0"/>
    <x v="1"/>
    <x v="1"/>
    <x v="0"/>
  </r>
  <r>
    <d v="2020-02-20T00:00:00"/>
    <s v="I fund."/>
    <x v="33"/>
    <s v="Shopping"/>
    <x v="4"/>
    <s v="769.42"/>
    <x v="0"/>
    <x v="1"/>
    <x v="0"/>
  </r>
  <r>
    <d v="2020-02-26T00:00:00"/>
    <s v="Court movie cell."/>
    <x v="34"/>
    <s v="Travel"/>
    <x v="9"/>
    <s v="1942.45"/>
    <x v="0"/>
    <x v="1"/>
    <x v="0"/>
  </r>
  <r>
    <d v="2020-02-27T00:00:00"/>
    <s v="Leg themselves away."/>
    <x v="35"/>
    <s v="Food &amp; Drink"/>
    <x v="0"/>
    <s v="1363.76"/>
    <x v="0"/>
    <x v="1"/>
    <x v="0"/>
  </r>
  <r>
    <d v="2020-02-28T00:00:00"/>
    <s v="Anything yourself."/>
    <x v="36"/>
    <s v="Other"/>
    <x v="5"/>
    <s v="3286.0"/>
    <x v="1"/>
    <x v="1"/>
    <x v="0"/>
  </r>
  <r>
    <d v="2020-02-28T00:00:00"/>
    <s v="Unit support."/>
    <x v="37"/>
    <s v="Other"/>
    <x v="5"/>
    <s v="1795.0"/>
    <x v="1"/>
    <x v="1"/>
    <x v="0"/>
  </r>
  <r>
    <d v="2020-02-29T00:00:00"/>
    <s v="Magazine degree husband around."/>
    <x v="38"/>
    <s v="Travel"/>
    <x v="9"/>
    <s v="1944.06"/>
    <x v="0"/>
    <x v="1"/>
    <x v="0"/>
  </r>
  <r>
    <d v="2020-03-03T00:00:00"/>
    <s v="World enter."/>
    <x v="39"/>
    <s v="Rent"/>
    <x v="2"/>
    <s v="1742.33"/>
    <x v="0"/>
    <x v="2"/>
    <x v="0"/>
  </r>
  <r>
    <d v="2020-03-04T00:00:00"/>
    <s v="Institution whatever yet."/>
    <x v="40"/>
    <s v="Entertainment"/>
    <x v="6"/>
    <s v="314.15"/>
    <x v="0"/>
    <x v="2"/>
    <x v="0"/>
  </r>
  <r>
    <d v="2020-03-04T00:00:00"/>
    <s v="Choice father why often."/>
    <x v="41"/>
    <s v="Food &amp; Drink"/>
    <x v="0"/>
    <s v="1201.9"/>
    <x v="0"/>
    <x v="2"/>
    <x v="0"/>
  </r>
  <r>
    <d v="2020-03-09T00:00:00"/>
    <s v="Security arm."/>
    <x v="42"/>
    <s v="Rent"/>
    <x v="2"/>
    <s v="1858.91"/>
    <x v="0"/>
    <x v="2"/>
    <x v="0"/>
  </r>
  <r>
    <d v="2020-03-09T00:00:00"/>
    <s v="Me system church whether."/>
    <x v="43"/>
    <s v="Travel"/>
    <x v="9"/>
    <s v="486.51"/>
    <x v="0"/>
    <x v="2"/>
    <x v="0"/>
  </r>
  <r>
    <d v="2020-03-11T00:00:00"/>
    <s v="Attention attack technology."/>
    <x v="44"/>
    <s v="Rent"/>
    <x v="2"/>
    <s v="180.45"/>
    <x v="0"/>
    <x v="2"/>
    <x v="0"/>
  </r>
  <r>
    <d v="2020-03-11T00:00:00"/>
    <s v="Walk now often."/>
    <x v="45"/>
    <s v="Rent"/>
    <x v="2"/>
    <s v="1956.19"/>
    <x v="0"/>
    <x v="2"/>
    <x v="0"/>
  </r>
  <r>
    <d v="2020-03-12T00:00:00"/>
    <s v="Bank price north first end."/>
    <x v="46"/>
    <s v="Utilities"/>
    <x v="1"/>
    <s v="265.5"/>
    <x v="0"/>
    <x v="2"/>
    <x v="0"/>
  </r>
  <r>
    <d v="2020-03-12T00:00:00"/>
    <s v="Enter capital population."/>
    <x v="47"/>
    <s v="Utilities"/>
    <x v="1"/>
    <s v="537.46"/>
    <x v="0"/>
    <x v="2"/>
    <x v="0"/>
  </r>
  <r>
    <d v="2020-03-14T00:00:00"/>
    <s v="Upon very act perform."/>
    <x v="48"/>
    <s v="Shopping"/>
    <x v="4"/>
    <s v="1929.08"/>
    <x v="0"/>
    <x v="2"/>
    <x v="0"/>
  </r>
  <r>
    <d v="2020-03-15T00:00:00"/>
    <s v="Available defense."/>
    <x v="49"/>
    <s v="Entertainment"/>
    <x v="6"/>
    <s v="1428.77"/>
    <x v="0"/>
    <x v="2"/>
    <x v="0"/>
  </r>
  <r>
    <d v="2020-03-18T00:00:00"/>
    <s v="Value thing these."/>
    <x v="50"/>
    <s v="Health &amp; Fitness"/>
    <x v="7"/>
    <s v="881.82"/>
    <x v="0"/>
    <x v="2"/>
    <x v="0"/>
  </r>
  <r>
    <d v="2020-03-21T00:00:00"/>
    <s v="Citizen street region."/>
    <x v="51"/>
    <s v="Rent"/>
    <x v="2"/>
    <s v="503.33"/>
    <x v="0"/>
    <x v="2"/>
    <x v="0"/>
  </r>
  <r>
    <d v="2020-03-23T00:00:00"/>
    <s v="Enough threat score."/>
    <x v="52"/>
    <s v="Food &amp; Drink"/>
    <x v="0"/>
    <s v="151.28"/>
    <x v="0"/>
    <x v="2"/>
    <x v="0"/>
  </r>
  <r>
    <d v="2020-03-23T00:00:00"/>
    <s v="Property never."/>
    <x v="53"/>
    <s v="Investment"/>
    <x v="3"/>
    <s v="2385.0"/>
    <x v="1"/>
    <x v="2"/>
    <x v="0"/>
  </r>
  <r>
    <d v="2020-03-24T00:00:00"/>
    <s v="Example decision garden."/>
    <x v="54"/>
    <s v="Entertainment"/>
    <x v="6"/>
    <s v="144.13"/>
    <x v="0"/>
    <x v="2"/>
    <x v="0"/>
  </r>
  <r>
    <d v="2020-03-28T00:00:00"/>
    <s v="Major town suffer begin."/>
    <x v="55"/>
    <s v="Other"/>
    <x v="5"/>
    <s v="1080.0"/>
    <x v="1"/>
    <x v="2"/>
    <x v="0"/>
  </r>
  <r>
    <d v="2020-04-01T00:00:00"/>
    <s v="Analysis four capital."/>
    <x v="56"/>
    <s v="Travel"/>
    <x v="9"/>
    <s v="1341.27"/>
    <x v="0"/>
    <x v="3"/>
    <x v="0"/>
  </r>
  <r>
    <d v="2020-04-05T00:00:00"/>
    <s v="Scientist necessary into."/>
    <x v="57"/>
    <s v="Utilities"/>
    <x v="1"/>
    <s v="1449.47"/>
    <x v="0"/>
    <x v="3"/>
    <x v="0"/>
  </r>
  <r>
    <d v="2020-04-06T00:00:00"/>
    <s v="Away third."/>
    <x v="58"/>
    <s v="Salary"/>
    <x v="8"/>
    <s v="493.56"/>
    <x v="0"/>
    <x v="3"/>
    <x v="0"/>
  </r>
  <r>
    <d v="2020-04-06T00:00:00"/>
    <s v="Along hard need involve among."/>
    <x v="59"/>
    <s v="Shopping"/>
    <x v="4"/>
    <s v="388.92"/>
    <x v="0"/>
    <x v="3"/>
    <x v="0"/>
  </r>
  <r>
    <d v="2020-04-10T00:00:00"/>
    <s v="Together decide."/>
    <x v="60"/>
    <s v="Other"/>
    <x v="5"/>
    <s v="3402.0"/>
    <x v="1"/>
    <x v="3"/>
    <x v="0"/>
  </r>
  <r>
    <d v="2020-04-17T00:00:00"/>
    <s v="See understand door class son."/>
    <x v="61"/>
    <s v="Investment"/>
    <x v="3"/>
    <s v="996.0"/>
    <x v="1"/>
    <x v="3"/>
    <x v="0"/>
  </r>
  <r>
    <d v="2020-04-17T00:00:00"/>
    <s v="Government nice."/>
    <x v="62"/>
    <s v="Salary"/>
    <x v="8"/>
    <s v="1729.04"/>
    <x v="0"/>
    <x v="3"/>
    <x v="0"/>
  </r>
  <r>
    <d v="2020-04-18T00:00:00"/>
    <s v="Agent say forward us."/>
    <x v="63"/>
    <s v="Health &amp; Fitness"/>
    <x v="7"/>
    <s v="1603.18"/>
    <x v="0"/>
    <x v="3"/>
    <x v="0"/>
  </r>
  <r>
    <d v="2020-04-22T00:00:00"/>
    <s v="City red him."/>
    <x v="64"/>
    <s v="Investment"/>
    <x v="3"/>
    <s v="2058.0"/>
    <x v="1"/>
    <x v="3"/>
    <x v="0"/>
  </r>
  <r>
    <d v="2020-04-23T00:00:00"/>
    <s v="Develop staff least figure."/>
    <x v="65"/>
    <s v="Utilities"/>
    <x v="1"/>
    <s v="849.54"/>
    <x v="0"/>
    <x v="3"/>
    <x v="0"/>
  </r>
  <r>
    <d v="2020-04-25T00:00:00"/>
    <s v="Age cover foreign."/>
    <x v="66"/>
    <s v="Entertainment"/>
    <x v="6"/>
    <s v="1750.23"/>
    <x v="0"/>
    <x v="3"/>
    <x v="0"/>
  </r>
  <r>
    <d v="2020-04-26T00:00:00"/>
    <s v="Voice boy wife condition."/>
    <x v="67"/>
    <s v="Food &amp; Drink"/>
    <x v="0"/>
    <s v="1938.3"/>
    <x v="0"/>
    <x v="3"/>
    <x v="0"/>
  </r>
  <r>
    <d v="2020-04-26T00:00:00"/>
    <s v="Go meeting quickly."/>
    <x v="68"/>
    <s v="Investment"/>
    <x v="3"/>
    <s v="914.0"/>
    <x v="1"/>
    <x v="3"/>
    <x v="0"/>
  </r>
  <r>
    <d v="2020-04-27T00:00:00"/>
    <s v="Board its."/>
    <x v="69"/>
    <s v="Entertainment"/>
    <x v="6"/>
    <s v="340.96"/>
    <x v="0"/>
    <x v="3"/>
    <x v="0"/>
  </r>
  <r>
    <d v="2020-04-27T00:00:00"/>
    <s v="Paper memory history office."/>
    <x v="70"/>
    <s v="Entertainment"/>
    <x v="6"/>
    <s v="1730.65"/>
    <x v="0"/>
    <x v="3"/>
    <x v="0"/>
  </r>
  <r>
    <d v="2020-04-29T00:00:00"/>
    <s v="Remember ability."/>
    <x v="71"/>
    <s v="Utilities"/>
    <x v="1"/>
    <s v="764.16"/>
    <x v="0"/>
    <x v="3"/>
    <x v="0"/>
  </r>
  <r>
    <d v="2020-04-30T00:00:00"/>
    <s v="Hair attorney professional."/>
    <x v="72"/>
    <s v="Travel"/>
    <x v="9"/>
    <s v="1853.77"/>
    <x v="0"/>
    <x v="3"/>
    <x v="0"/>
  </r>
  <r>
    <d v="2020-05-01T00:00:00"/>
    <s v="Finish summer rest feel finally."/>
    <x v="73"/>
    <s v="Travel"/>
    <x v="9"/>
    <s v="851.78"/>
    <x v="0"/>
    <x v="4"/>
    <x v="0"/>
  </r>
  <r>
    <d v="2020-05-03T00:00:00"/>
    <s v="Past feeling nature."/>
    <x v="74"/>
    <s v="Food &amp; Drink"/>
    <x v="0"/>
    <s v="1162.57"/>
    <x v="0"/>
    <x v="4"/>
    <x v="0"/>
  </r>
  <r>
    <d v="2020-05-03T00:00:00"/>
    <s v="I fast camera inside."/>
    <x v="75"/>
    <s v="Salary"/>
    <x v="8"/>
    <s v="318.05"/>
    <x v="0"/>
    <x v="4"/>
    <x v="0"/>
  </r>
  <r>
    <d v="2020-05-05T00:00:00"/>
    <s v="Expert involve oil."/>
    <x v="76"/>
    <s v="Health &amp; Fitness"/>
    <x v="7"/>
    <s v="123.76"/>
    <x v="0"/>
    <x v="4"/>
    <x v="0"/>
  </r>
  <r>
    <d v="2020-05-06T00:00:00"/>
    <s v="Kid put memory soldier."/>
    <x v="77"/>
    <s v="Utilities"/>
    <x v="1"/>
    <s v="123.19"/>
    <x v="0"/>
    <x v="4"/>
    <x v="0"/>
  </r>
  <r>
    <d v="2020-05-06T00:00:00"/>
    <s v="Exist professional."/>
    <x v="78"/>
    <s v="Utilities"/>
    <x v="1"/>
    <s v="146.36"/>
    <x v="0"/>
    <x v="4"/>
    <x v="0"/>
  </r>
  <r>
    <d v="2020-05-07T00:00:00"/>
    <s v="Stand seem."/>
    <x v="79"/>
    <s v="Investment"/>
    <x v="3"/>
    <s v="3807.0"/>
    <x v="1"/>
    <x v="4"/>
    <x v="0"/>
  </r>
  <r>
    <d v="2020-05-11T00:00:00"/>
    <s v="Southern challenge animal."/>
    <x v="80"/>
    <s v="Investment"/>
    <x v="3"/>
    <s v="825.0"/>
    <x v="1"/>
    <x v="4"/>
    <x v="0"/>
  </r>
  <r>
    <d v="2020-05-12T00:00:00"/>
    <s v="Sure authority increase picture create."/>
    <x v="81"/>
    <s v="Shopping"/>
    <x v="4"/>
    <s v="1318.17"/>
    <x v="0"/>
    <x v="4"/>
    <x v="0"/>
  </r>
  <r>
    <d v="2020-05-13T00:00:00"/>
    <s v="Hundred challenge reach throughout."/>
    <x v="82"/>
    <s v="Health &amp; Fitness"/>
    <x v="7"/>
    <s v="1870.07"/>
    <x v="0"/>
    <x v="4"/>
    <x v="0"/>
  </r>
  <r>
    <d v="2020-05-14T00:00:00"/>
    <s v="Despite sound receive let."/>
    <x v="83"/>
    <s v="Health &amp; Fitness"/>
    <x v="7"/>
    <s v="484.99"/>
    <x v="0"/>
    <x v="4"/>
    <x v="0"/>
  </r>
  <r>
    <d v="2020-05-15T00:00:00"/>
    <s v="True building card."/>
    <x v="84"/>
    <s v="Travel"/>
    <x v="9"/>
    <s v="919.88"/>
    <x v="0"/>
    <x v="4"/>
    <x v="0"/>
  </r>
  <r>
    <d v="2020-05-16T00:00:00"/>
    <s v="Write other wear through partner."/>
    <x v="85"/>
    <s v="Rent"/>
    <x v="2"/>
    <s v="28.54"/>
    <x v="0"/>
    <x v="4"/>
    <x v="0"/>
  </r>
  <r>
    <d v="2020-05-17T00:00:00"/>
    <s v="Store natural today season."/>
    <x v="86"/>
    <s v="Rent"/>
    <x v="2"/>
    <s v="155.79"/>
    <x v="0"/>
    <x v="4"/>
    <x v="0"/>
  </r>
  <r>
    <d v="2020-05-19T00:00:00"/>
    <s v="Else easy point she."/>
    <x v="87"/>
    <s v="Travel"/>
    <x v="9"/>
    <s v="273.59"/>
    <x v="0"/>
    <x v="4"/>
    <x v="0"/>
  </r>
  <r>
    <d v="2020-05-20T00:00:00"/>
    <s v="Phone ever back experience."/>
    <x v="88"/>
    <s v="Rent"/>
    <x v="2"/>
    <s v="1759.75"/>
    <x v="0"/>
    <x v="4"/>
    <x v="0"/>
  </r>
  <r>
    <d v="2020-05-21T00:00:00"/>
    <s v="Floor music catch discuss."/>
    <x v="89"/>
    <s v="Utilities"/>
    <x v="1"/>
    <s v="881.99"/>
    <x v="0"/>
    <x v="4"/>
    <x v="0"/>
  </r>
  <r>
    <d v="2020-05-25T00:00:00"/>
    <s v="Ask imagine my."/>
    <x v="90"/>
    <s v="Travel"/>
    <x v="9"/>
    <s v="1227.24"/>
    <x v="0"/>
    <x v="4"/>
    <x v="0"/>
  </r>
  <r>
    <d v="2020-05-27T00:00:00"/>
    <s v="Deal information."/>
    <x v="91"/>
    <s v="Food &amp; Drink"/>
    <x v="0"/>
    <s v="1339.05"/>
    <x v="0"/>
    <x v="4"/>
    <x v="0"/>
  </r>
  <r>
    <d v="2020-05-28T00:00:00"/>
    <s v="Task she."/>
    <x v="92"/>
    <s v="Rent"/>
    <x v="2"/>
    <s v="1878.47"/>
    <x v="0"/>
    <x v="4"/>
    <x v="0"/>
  </r>
  <r>
    <d v="2020-05-29T00:00:00"/>
    <s v="Accept goal send table."/>
    <x v="93"/>
    <s v="Investment"/>
    <x v="3"/>
    <s v="1376.0"/>
    <x v="1"/>
    <x v="4"/>
    <x v="0"/>
  </r>
  <r>
    <d v="2020-05-30T00:00:00"/>
    <s v="Section national owner determine detail."/>
    <x v="94"/>
    <s v="Utilities"/>
    <x v="1"/>
    <s v="551.97"/>
    <x v="0"/>
    <x v="4"/>
    <x v="0"/>
  </r>
  <r>
    <d v="2020-05-31T00:00:00"/>
    <s v="Ahead from quickly identify."/>
    <x v="95"/>
    <s v="Health &amp; Fitness"/>
    <x v="7"/>
    <s v="415.16"/>
    <x v="0"/>
    <x v="4"/>
    <x v="0"/>
  </r>
  <r>
    <d v="2020-05-31T00:00:00"/>
    <s v="Try wonder move trade."/>
    <x v="96"/>
    <s v="Travel"/>
    <x v="9"/>
    <s v="1015.76"/>
    <x v="0"/>
    <x v="4"/>
    <x v="0"/>
  </r>
  <r>
    <d v="2020-06-01T00:00:00"/>
    <s v="Base investment."/>
    <x v="97"/>
    <s v="Food &amp; Drink"/>
    <x v="0"/>
    <s v="193.67"/>
    <x v="0"/>
    <x v="5"/>
    <x v="0"/>
  </r>
  <r>
    <d v="2020-06-02T00:00:00"/>
    <s v="Anyone here deep."/>
    <x v="98"/>
    <s v="Travel"/>
    <x v="9"/>
    <s v="97.73"/>
    <x v="0"/>
    <x v="5"/>
    <x v="0"/>
  </r>
  <r>
    <d v="2020-06-05T00:00:00"/>
    <s v="Seven here sell story."/>
    <x v="99"/>
    <s v="Utilities"/>
    <x v="1"/>
    <s v="1277.86"/>
    <x v="0"/>
    <x v="5"/>
    <x v="0"/>
  </r>
  <r>
    <d v="2020-06-06T00:00:00"/>
    <s v="Like see."/>
    <x v="100"/>
    <s v="Salary"/>
    <x v="8"/>
    <s v="1107.84"/>
    <x v="0"/>
    <x v="5"/>
    <x v="0"/>
  </r>
  <r>
    <d v="2020-06-07T00:00:00"/>
    <s v="Difference attention whatever american."/>
    <x v="101"/>
    <s v="Food &amp; Drink"/>
    <x v="0"/>
    <s v="232.63"/>
    <x v="0"/>
    <x v="5"/>
    <x v="0"/>
  </r>
  <r>
    <d v="2020-06-08T00:00:00"/>
    <s v="Current after charge."/>
    <x v="102"/>
    <s v="Utilities"/>
    <x v="1"/>
    <s v="1095.72"/>
    <x v="0"/>
    <x v="5"/>
    <x v="0"/>
  </r>
  <r>
    <d v="2020-06-09T00:00:00"/>
    <s v="Paper white responsibility."/>
    <x v="103"/>
    <s v="Other"/>
    <x v="5"/>
    <s v="826.0"/>
    <x v="1"/>
    <x v="5"/>
    <x v="0"/>
  </r>
  <r>
    <d v="2020-06-09T00:00:00"/>
    <s v="Prove nor design record."/>
    <x v="104"/>
    <s v="Utilities"/>
    <x v="1"/>
    <s v="865.28"/>
    <x v="0"/>
    <x v="5"/>
    <x v="0"/>
  </r>
  <r>
    <d v="2020-06-10T00:00:00"/>
    <s v="Blue agent find."/>
    <x v="105"/>
    <s v="Entertainment"/>
    <x v="6"/>
    <s v="1367.31"/>
    <x v="0"/>
    <x v="5"/>
    <x v="0"/>
  </r>
  <r>
    <d v="2020-06-10T00:00:00"/>
    <s v="Walk cup option store."/>
    <x v="106"/>
    <s v="Health &amp; Fitness"/>
    <x v="7"/>
    <s v="1562.43"/>
    <x v="0"/>
    <x v="5"/>
    <x v="0"/>
  </r>
  <r>
    <d v="2020-06-11T00:00:00"/>
    <s v="Site girl into have media."/>
    <x v="107"/>
    <s v="Entertainment"/>
    <x v="6"/>
    <s v="1730.57"/>
    <x v="0"/>
    <x v="5"/>
    <x v="0"/>
  </r>
  <r>
    <d v="2020-06-11T00:00:00"/>
    <s v="Recent feeling."/>
    <x v="108"/>
    <s v="Shopping"/>
    <x v="4"/>
    <s v="1947.94"/>
    <x v="0"/>
    <x v="5"/>
    <x v="0"/>
  </r>
  <r>
    <d v="2020-06-12T00:00:00"/>
    <s v="Support state."/>
    <x v="109"/>
    <s v="Utilities"/>
    <x v="1"/>
    <s v="1764.02"/>
    <x v="0"/>
    <x v="5"/>
    <x v="0"/>
  </r>
  <r>
    <d v="2020-06-14T00:00:00"/>
    <s v="Whether player stock religious."/>
    <x v="110"/>
    <s v="Other"/>
    <x v="5"/>
    <s v="3872.0"/>
    <x v="1"/>
    <x v="5"/>
    <x v="0"/>
  </r>
  <r>
    <d v="2020-06-15T00:00:00"/>
    <s v="Safe whole establish."/>
    <x v="111"/>
    <s v="Entertainment"/>
    <x v="6"/>
    <s v="540.94"/>
    <x v="0"/>
    <x v="5"/>
    <x v="0"/>
  </r>
  <r>
    <d v="2020-06-18T00:00:00"/>
    <s v="Everything late."/>
    <x v="112"/>
    <s v="Other"/>
    <x v="5"/>
    <s v="2322.0"/>
    <x v="1"/>
    <x v="5"/>
    <x v="0"/>
  </r>
  <r>
    <d v="2020-06-18T00:00:00"/>
    <s v="Particular her agreement surface consider."/>
    <x v="113"/>
    <s v="Other"/>
    <x v="5"/>
    <s v="3364.0"/>
    <x v="1"/>
    <x v="5"/>
    <x v="0"/>
  </r>
  <r>
    <d v="2020-06-18T00:00:00"/>
    <s v="Let stay or focus."/>
    <x v="114"/>
    <s v="Rent"/>
    <x v="2"/>
    <s v="771.26"/>
    <x v="0"/>
    <x v="5"/>
    <x v="0"/>
  </r>
  <r>
    <d v="2020-06-19T00:00:00"/>
    <s v="Something future they red."/>
    <x v="115"/>
    <s v="Entertainment"/>
    <x v="6"/>
    <s v="453.62"/>
    <x v="0"/>
    <x v="5"/>
    <x v="0"/>
  </r>
  <r>
    <d v="2020-06-19T00:00:00"/>
    <s v="Act way beat result major."/>
    <x v="116"/>
    <s v="Shopping"/>
    <x v="4"/>
    <s v="663.24"/>
    <x v="0"/>
    <x v="5"/>
    <x v="0"/>
  </r>
  <r>
    <d v="2020-06-21T00:00:00"/>
    <s v="Reality fill ok list."/>
    <x v="117"/>
    <s v="Health &amp; Fitness"/>
    <x v="7"/>
    <s v="1879.08"/>
    <x v="0"/>
    <x v="5"/>
    <x v="0"/>
  </r>
  <r>
    <d v="2020-06-21T00:00:00"/>
    <s v="Position make society behavior."/>
    <x v="118"/>
    <s v="Travel"/>
    <x v="9"/>
    <s v="708.78"/>
    <x v="0"/>
    <x v="5"/>
    <x v="0"/>
  </r>
  <r>
    <d v="2020-06-22T00:00:00"/>
    <s v="International second former reflect."/>
    <x v="119"/>
    <s v="Other"/>
    <x v="5"/>
    <s v="1962.0"/>
    <x v="1"/>
    <x v="5"/>
    <x v="0"/>
  </r>
  <r>
    <d v="2020-06-22T00:00:00"/>
    <s v="Edge building court."/>
    <x v="120"/>
    <s v="Travel"/>
    <x v="9"/>
    <s v="86.13"/>
    <x v="0"/>
    <x v="5"/>
    <x v="0"/>
  </r>
  <r>
    <d v="2020-06-24T00:00:00"/>
    <s v="Week real course school everybody."/>
    <x v="121"/>
    <s v="Health &amp; Fitness"/>
    <x v="7"/>
    <s v="1459.8"/>
    <x v="0"/>
    <x v="5"/>
    <x v="0"/>
  </r>
  <r>
    <d v="2020-06-30T00:00:00"/>
    <s v="Executive beyond create dinner conference."/>
    <x v="122"/>
    <s v="Rent"/>
    <x v="2"/>
    <s v="776.54"/>
    <x v="0"/>
    <x v="5"/>
    <x v="0"/>
  </r>
  <r>
    <d v="2020-06-30T00:00:00"/>
    <s v="Call animal approach factor want."/>
    <x v="123"/>
    <s v="Travel"/>
    <x v="9"/>
    <s v="98.33"/>
    <x v="0"/>
    <x v="5"/>
    <x v="0"/>
  </r>
  <r>
    <d v="2020-07-02T00:00:00"/>
    <s v="Their off."/>
    <x v="124"/>
    <s v="Entertainment"/>
    <x v="6"/>
    <s v="734.8"/>
    <x v="0"/>
    <x v="6"/>
    <x v="0"/>
  </r>
  <r>
    <d v="2020-07-03T00:00:00"/>
    <s v="Key continue anything wait."/>
    <x v="125"/>
    <s v="Other"/>
    <x v="5"/>
    <s v="3071.0"/>
    <x v="1"/>
    <x v="6"/>
    <x v="0"/>
  </r>
  <r>
    <d v="2020-07-04T00:00:00"/>
    <s v="State husband."/>
    <x v="126"/>
    <s v="Rent"/>
    <x v="2"/>
    <s v="1442.31"/>
    <x v="0"/>
    <x v="6"/>
    <x v="0"/>
  </r>
  <r>
    <d v="2020-07-05T00:00:00"/>
    <s v="Picture approach chance none fight."/>
    <x v="127"/>
    <s v="Travel"/>
    <x v="9"/>
    <s v="1337.12"/>
    <x v="0"/>
    <x v="6"/>
    <x v="0"/>
  </r>
  <r>
    <d v="2020-07-06T00:00:00"/>
    <s v="Herself training father open investment."/>
    <x v="128"/>
    <s v="Other"/>
    <x v="5"/>
    <s v="1925.0"/>
    <x v="1"/>
    <x v="6"/>
    <x v="0"/>
  </r>
  <r>
    <d v="2020-07-06T00:00:00"/>
    <s v="Newspaper indicate other."/>
    <x v="129"/>
    <s v="Travel"/>
    <x v="9"/>
    <s v="1113.28"/>
    <x v="0"/>
    <x v="6"/>
    <x v="0"/>
  </r>
  <r>
    <d v="2020-07-08T00:00:00"/>
    <s v="Art whether between several personal."/>
    <x v="130"/>
    <s v="Travel"/>
    <x v="9"/>
    <s v="818.09"/>
    <x v="0"/>
    <x v="6"/>
    <x v="0"/>
  </r>
  <r>
    <d v="2020-07-11T00:00:00"/>
    <s v="Church community."/>
    <x v="131"/>
    <s v="Travel"/>
    <x v="9"/>
    <s v="580.96"/>
    <x v="0"/>
    <x v="6"/>
    <x v="0"/>
  </r>
  <r>
    <d v="2020-07-12T00:00:00"/>
    <s v="Discuss religious."/>
    <x v="132"/>
    <s v="Entertainment"/>
    <x v="6"/>
    <s v="1027.24"/>
    <x v="0"/>
    <x v="6"/>
    <x v="0"/>
  </r>
  <r>
    <d v="2020-07-12T00:00:00"/>
    <s v="Able late order."/>
    <x v="133"/>
    <s v="Health &amp; Fitness"/>
    <x v="7"/>
    <s v="935.33"/>
    <x v="0"/>
    <x v="6"/>
    <x v="0"/>
  </r>
  <r>
    <d v="2020-07-13T00:00:00"/>
    <s v="Reach under."/>
    <x v="134"/>
    <s v="Utilities"/>
    <x v="1"/>
    <s v="1321.11"/>
    <x v="0"/>
    <x v="6"/>
    <x v="0"/>
  </r>
  <r>
    <d v="2020-07-17T00:00:00"/>
    <s v="Boy different chance enter."/>
    <x v="135"/>
    <s v="Health &amp; Fitness"/>
    <x v="7"/>
    <s v="195.84"/>
    <x v="0"/>
    <x v="6"/>
    <x v="0"/>
  </r>
  <r>
    <d v="2020-07-20T00:00:00"/>
    <s v="Arrive society."/>
    <x v="136"/>
    <s v="Entertainment"/>
    <x v="6"/>
    <s v="1348.86"/>
    <x v="0"/>
    <x v="6"/>
    <x v="0"/>
  </r>
  <r>
    <d v="2020-07-21T00:00:00"/>
    <s v="Keep light fight."/>
    <x v="137"/>
    <s v="Entertainment"/>
    <x v="6"/>
    <s v="303.23"/>
    <x v="0"/>
    <x v="6"/>
    <x v="0"/>
  </r>
  <r>
    <d v="2020-07-21T00:00:00"/>
    <s v="Matter management ball."/>
    <x v="138"/>
    <s v="Other"/>
    <x v="5"/>
    <s v="1096.0"/>
    <x v="1"/>
    <x v="6"/>
    <x v="0"/>
  </r>
  <r>
    <d v="2020-07-22T00:00:00"/>
    <s v="Same page ago director."/>
    <x v="139"/>
    <s v="Entertainment"/>
    <x v="6"/>
    <s v="1439.51"/>
    <x v="0"/>
    <x v="6"/>
    <x v="0"/>
  </r>
  <r>
    <d v="2020-07-22T00:00:00"/>
    <s v="Million kind everything young."/>
    <x v="140"/>
    <s v="Food &amp; Drink"/>
    <x v="0"/>
    <s v="1786.39"/>
    <x v="0"/>
    <x v="6"/>
    <x v="0"/>
  </r>
  <r>
    <d v="2020-07-22T00:00:00"/>
    <s v="Week yourself public especially american."/>
    <x v="141"/>
    <s v="Shopping"/>
    <x v="4"/>
    <s v="495.53"/>
    <x v="0"/>
    <x v="6"/>
    <x v="0"/>
  </r>
  <r>
    <d v="2020-07-23T00:00:00"/>
    <s v="Why like impact fly."/>
    <x v="142"/>
    <s v="Rent"/>
    <x v="2"/>
    <s v="1559.06"/>
    <x v="0"/>
    <x v="6"/>
    <x v="0"/>
  </r>
  <r>
    <d v="2020-07-24T00:00:00"/>
    <s v="Form really explain."/>
    <x v="143"/>
    <s v="Salary"/>
    <x v="8"/>
    <s v="109.93"/>
    <x v="0"/>
    <x v="6"/>
    <x v="0"/>
  </r>
  <r>
    <d v="2020-07-28T00:00:00"/>
    <s v="Price my."/>
    <x v="144"/>
    <s v="Health &amp; Fitness"/>
    <x v="7"/>
    <s v="1900.58"/>
    <x v="0"/>
    <x v="6"/>
    <x v="0"/>
  </r>
  <r>
    <d v="2020-07-28T00:00:00"/>
    <s v="Already because education break significant."/>
    <x v="145"/>
    <s v="Rent"/>
    <x v="2"/>
    <s v="918.36"/>
    <x v="0"/>
    <x v="6"/>
    <x v="0"/>
  </r>
  <r>
    <d v="2020-07-29T00:00:00"/>
    <s v="Could gun."/>
    <x v="146"/>
    <s v="Shopping"/>
    <x v="4"/>
    <s v="1662.83"/>
    <x v="0"/>
    <x v="6"/>
    <x v="0"/>
  </r>
  <r>
    <d v="2020-07-30T00:00:00"/>
    <s v="Kind appear environment capital explain."/>
    <x v="147"/>
    <s v="Utilities"/>
    <x v="1"/>
    <s v="1489.87"/>
    <x v="0"/>
    <x v="6"/>
    <x v="0"/>
  </r>
  <r>
    <d v="2020-07-31T00:00:00"/>
    <s v="Ahead picture son."/>
    <x v="148"/>
    <s v="Travel"/>
    <x v="9"/>
    <s v="1506.04"/>
    <x v="0"/>
    <x v="6"/>
    <x v="0"/>
  </r>
  <r>
    <d v="2020-08-01T00:00:00"/>
    <s v="Water positive child usually."/>
    <x v="149"/>
    <s v="Entertainment"/>
    <x v="6"/>
    <s v="556.45"/>
    <x v="0"/>
    <x v="7"/>
    <x v="0"/>
  </r>
  <r>
    <d v="2020-08-01T00:00:00"/>
    <s v="Relate indeed lot line lead."/>
    <x v="150"/>
    <s v="Other"/>
    <x v="5"/>
    <s v="2420.0"/>
    <x v="1"/>
    <x v="7"/>
    <x v="0"/>
  </r>
  <r>
    <d v="2020-08-01T00:00:00"/>
    <s v="Nearly need behavior."/>
    <x v="151"/>
    <s v="Travel"/>
    <x v="9"/>
    <s v="1533.97"/>
    <x v="0"/>
    <x v="7"/>
    <x v="0"/>
  </r>
  <r>
    <d v="2020-08-02T00:00:00"/>
    <s v="Course out second carry."/>
    <x v="152"/>
    <s v="Health &amp; Fitness"/>
    <x v="7"/>
    <s v="1787.12"/>
    <x v="0"/>
    <x v="7"/>
    <x v="0"/>
  </r>
  <r>
    <d v="2020-08-03T00:00:00"/>
    <s v="Significant take future."/>
    <x v="153"/>
    <s v="Investment"/>
    <x v="3"/>
    <s v="2394.0"/>
    <x v="1"/>
    <x v="7"/>
    <x v="0"/>
  </r>
  <r>
    <d v="2020-08-04T00:00:00"/>
    <s v="Your majority chance mrs generation."/>
    <x v="154"/>
    <s v="Other"/>
    <x v="5"/>
    <s v="3210.0"/>
    <x v="1"/>
    <x v="7"/>
    <x v="0"/>
  </r>
  <r>
    <d v="2020-08-04T00:00:00"/>
    <s v="Help usually thank wonder draw."/>
    <x v="155"/>
    <s v="Shopping"/>
    <x v="4"/>
    <s v="133.91"/>
    <x v="0"/>
    <x v="7"/>
    <x v="0"/>
  </r>
  <r>
    <d v="2020-08-04T00:00:00"/>
    <s v="Star executive fear."/>
    <x v="156"/>
    <s v="Utilities"/>
    <x v="1"/>
    <s v="1415.77"/>
    <x v="0"/>
    <x v="7"/>
    <x v="0"/>
  </r>
  <r>
    <d v="2020-08-05T00:00:00"/>
    <s v="History professional star wonder."/>
    <x v="157"/>
    <s v="Food &amp; Drink"/>
    <x v="0"/>
    <s v="1714.9"/>
    <x v="0"/>
    <x v="7"/>
    <x v="0"/>
  </r>
  <r>
    <d v="2020-08-05T00:00:00"/>
    <s v="Task improve fish."/>
    <x v="158"/>
    <s v="Shopping"/>
    <x v="4"/>
    <s v="1810.63"/>
    <x v="0"/>
    <x v="7"/>
    <x v="0"/>
  </r>
  <r>
    <d v="2020-08-06T00:00:00"/>
    <s v="Call whole."/>
    <x v="159"/>
    <s v="Shopping"/>
    <x v="4"/>
    <s v="959.19"/>
    <x v="0"/>
    <x v="7"/>
    <x v="0"/>
  </r>
  <r>
    <d v="2020-08-08T00:00:00"/>
    <s v="Address century that wide."/>
    <x v="160"/>
    <s v="Shopping"/>
    <x v="4"/>
    <s v="1081.06"/>
    <x v="0"/>
    <x v="7"/>
    <x v="0"/>
  </r>
  <r>
    <d v="2020-08-08T00:00:00"/>
    <s v="Them key."/>
    <x v="161"/>
    <s v="Travel"/>
    <x v="9"/>
    <s v="1509.42"/>
    <x v="0"/>
    <x v="7"/>
    <x v="0"/>
  </r>
  <r>
    <d v="2020-08-09T00:00:00"/>
    <s v="Sit enter perhaps however."/>
    <x v="162"/>
    <s v="Entertainment"/>
    <x v="6"/>
    <s v="981.58"/>
    <x v="0"/>
    <x v="7"/>
    <x v="0"/>
  </r>
  <r>
    <d v="2020-08-13T00:00:00"/>
    <s v="System teacher here first."/>
    <x v="163"/>
    <s v="Salary"/>
    <x v="8"/>
    <s v="67.76"/>
    <x v="0"/>
    <x v="7"/>
    <x v="0"/>
  </r>
  <r>
    <d v="2020-08-14T00:00:00"/>
    <s v="Along attention piece tv young."/>
    <x v="164"/>
    <s v="Shopping"/>
    <x v="4"/>
    <s v="1451.12"/>
    <x v="0"/>
    <x v="7"/>
    <x v="0"/>
  </r>
  <r>
    <d v="2020-08-16T00:00:00"/>
    <s v="Within set region beyond."/>
    <x v="165"/>
    <s v="Utilities"/>
    <x v="1"/>
    <s v="1961.64"/>
    <x v="0"/>
    <x v="7"/>
    <x v="0"/>
  </r>
  <r>
    <d v="2020-08-17T00:00:00"/>
    <s v="Tough animal someone."/>
    <x v="166"/>
    <s v="Shopping"/>
    <x v="4"/>
    <s v="1187.87"/>
    <x v="0"/>
    <x v="7"/>
    <x v="0"/>
  </r>
  <r>
    <d v="2020-08-18T00:00:00"/>
    <s v="Hear certainly most not."/>
    <x v="167"/>
    <s v="Rent"/>
    <x v="2"/>
    <s v="1289.07"/>
    <x v="0"/>
    <x v="7"/>
    <x v="0"/>
  </r>
  <r>
    <d v="2020-08-19T00:00:00"/>
    <s v="Company participant him."/>
    <x v="168"/>
    <s v="Other"/>
    <x v="5"/>
    <s v="1988.0"/>
    <x v="1"/>
    <x v="7"/>
    <x v="0"/>
  </r>
  <r>
    <d v="2020-08-20T00:00:00"/>
    <s v="Tree central leave effect."/>
    <x v="169"/>
    <s v="Other"/>
    <x v="5"/>
    <s v="3181.0"/>
    <x v="1"/>
    <x v="7"/>
    <x v="0"/>
  </r>
  <r>
    <d v="2020-08-21T00:00:00"/>
    <s v="Together let."/>
    <x v="170"/>
    <s v="Health &amp; Fitness"/>
    <x v="7"/>
    <s v="681.63"/>
    <x v="0"/>
    <x v="7"/>
    <x v="0"/>
  </r>
  <r>
    <d v="2020-08-21T00:00:00"/>
    <s v="Citizen kid generation onto police."/>
    <x v="171"/>
    <s v="Travel"/>
    <x v="9"/>
    <s v="1506.5"/>
    <x v="0"/>
    <x v="7"/>
    <x v="0"/>
  </r>
  <r>
    <d v="2020-08-22T00:00:00"/>
    <s v="Down occur."/>
    <x v="172"/>
    <s v="Food &amp; Drink"/>
    <x v="0"/>
    <s v="1999.82"/>
    <x v="0"/>
    <x v="7"/>
    <x v="0"/>
  </r>
  <r>
    <d v="2020-08-22T00:00:00"/>
    <s v="Lead few yourself."/>
    <x v="173"/>
    <s v="Travel"/>
    <x v="9"/>
    <s v="1671.47"/>
    <x v="0"/>
    <x v="7"/>
    <x v="0"/>
  </r>
  <r>
    <d v="2020-08-26T00:00:00"/>
    <s v="Yeah far within."/>
    <x v="174"/>
    <s v="Rent"/>
    <x v="2"/>
    <s v="1564.65"/>
    <x v="0"/>
    <x v="7"/>
    <x v="0"/>
  </r>
  <r>
    <d v="2020-08-27T00:00:00"/>
    <s v="Account ten sing."/>
    <x v="175"/>
    <s v="Food &amp; Drink"/>
    <x v="0"/>
    <s v="1899.73"/>
    <x v="0"/>
    <x v="7"/>
    <x v="0"/>
  </r>
  <r>
    <d v="2020-08-27T00:00:00"/>
    <s v="Seat strategy total simply discover."/>
    <x v="176"/>
    <s v="Investment"/>
    <x v="3"/>
    <s v="1748.0"/>
    <x v="1"/>
    <x v="7"/>
    <x v="0"/>
  </r>
  <r>
    <d v="2020-08-29T00:00:00"/>
    <s v="Pm per question."/>
    <x v="177"/>
    <s v="Salary"/>
    <x v="8"/>
    <s v="1342.22"/>
    <x v="0"/>
    <x v="7"/>
    <x v="0"/>
  </r>
  <r>
    <d v="2020-08-30T00:00:00"/>
    <s v="Best physical always small almost."/>
    <x v="178"/>
    <s v="Entertainment"/>
    <x v="6"/>
    <s v="935.42"/>
    <x v="0"/>
    <x v="7"/>
    <x v="0"/>
  </r>
  <r>
    <d v="2020-08-31T00:00:00"/>
    <s v="Bed far section."/>
    <x v="179"/>
    <s v="Health &amp; Fitness"/>
    <x v="7"/>
    <s v="343.9"/>
    <x v="0"/>
    <x v="7"/>
    <x v="0"/>
  </r>
  <r>
    <d v="2020-09-01T00:00:00"/>
    <s v="Car much will."/>
    <x v="180"/>
    <s v="Rent"/>
    <x v="2"/>
    <s v="1557.81"/>
    <x v="0"/>
    <x v="8"/>
    <x v="0"/>
  </r>
  <r>
    <d v="2020-09-05T00:00:00"/>
    <s v="Tree store either station."/>
    <x v="181"/>
    <s v="Other"/>
    <x v="5"/>
    <s v="1385.0"/>
    <x v="1"/>
    <x v="8"/>
    <x v="0"/>
  </r>
  <r>
    <d v="2020-09-05T00:00:00"/>
    <s v="Second full boy."/>
    <x v="182"/>
    <s v="Travel"/>
    <x v="9"/>
    <s v="1155.84"/>
    <x v="0"/>
    <x v="8"/>
    <x v="0"/>
  </r>
  <r>
    <d v="2020-09-06T00:00:00"/>
    <s v="Senior difficult put."/>
    <x v="183"/>
    <s v="Shopping"/>
    <x v="4"/>
    <s v="799.34"/>
    <x v="0"/>
    <x v="8"/>
    <x v="0"/>
  </r>
  <r>
    <d v="2020-09-07T00:00:00"/>
    <s v="Hand so add mr lawyer."/>
    <x v="184"/>
    <s v="Rent"/>
    <x v="2"/>
    <s v="1188.27"/>
    <x v="0"/>
    <x v="8"/>
    <x v="0"/>
  </r>
  <r>
    <d v="2020-09-08T00:00:00"/>
    <s v="Herself police he push likely."/>
    <x v="185"/>
    <s v="Entertainment"/>
    <x v="6"/>
    <s v="212.78"/>
    <x v="0"/>
    <x v="8"/>
    <x v="0"/>
  </r>
  <r>
    <d v="2020-09-11T00:00:00"/>
    <s v="Bring animal also you."/>
    <x v="186"/>
    <s v="Food &amp; Drink"/>
    <x v="0"/>
    <s v="700.94"/>
    <x v="0"/>
    <x v="8"/>
    <x v="0"/>
  </r>
  <r>
    <d v="2020-09-11T00:00:00"/>
    <s v="Doctor mr."/>
    <x v="187"/>
    <s v="Health &amp; Fitness"/>
    <x v="7"/>
    <s v="147.22"/>
    <x v="0"/>
    <x v="8"/>
    <x v="0"/>
  </r>
  <r>
    <d v="2020-09-11T00:00:00"/>
    <s v="Trip determine as statement."/>
    <x v="188"/>
    <s v="Rent"/>
    <x v="2"/>
    <s v="1594.49"/>
    <x v="0"/>
    <x v="8"/>
    <x v="0"/>
  </r>
  <r>
    <d v="2020-09-16T00:00:00"/>
    <s v="He we recent music."/>
    <x v="189"/>
    <s v="Food &amp; Drink"/>
    <x v="0"/>
    <s v="1700.66"/>
    <x v="0"/>
    <x v="8"/>
    <x v="0"/>
  </r>
  <r>
    <d v="2020-09-17T00:00:00"/>
    <s v="Those pressure street."/>
    <x v="190"/>
    <s v="Rent"/>
    <x v="2"/>
    <s v="872.71"/>
    <x v="0"/>
    <x v="8"/>
    <x v="0"/>
  </r>
  <r>
    <d v="2020-09-17T00:00:00"/>
    <s v="Allow have kitchen."/>
    <x v="191"/>
    <s v="Salary"/>
    <x v="8"/>
    <s v="1417.54"/>
    <x v="0"/>
    <x v="8"/>
    <x v="0"/>
  </r>
  <r>
    <d v="2020-09-18T00:00:00"/>
    <s v="Huge couple."/>
    <x v="192"/>
    <s v="Salary"/>
    <x v="8"/>
    <s v="935.1"/>
    <x v="0"/>
    <x v="8"/>
    <x v="0"/>
  </r>
  <r>
    <d v="2020-09-18T00:00:00"/>
    <s v="Between rate name within."/>
    <x v="193"/>
    <s v="Travel"/>
    <x v="9"/>
    <s v="1235.67"/>
    <x v="0"/>
    <x v="8"/>
    <x v="0"/>
  </r>
  <r>
    <d v="2020-09-22T00:00:00"/>
    <s v="During call north attention."/>
    <x v="194"/>
    <s v="Rent"/>
    <x v="2"/>
    <s v="565.07"/>
    <x v="0"/>
    <x v="8"/>
    <x v="0"/>
  </r>
  <r>
    <d v="2020-09-22T00:00:00"/>
    <s v="Only spend do."/>
    <x v="195"/>
    <s v="Salary"/>
    <x v="8"/>
    <s v="1144.0"/>
    <x v="0"/>
    <x v="8"/>
    <x v="0"/>
  </r>
  <r>
    <d v="2020-09-22T00:00:00"/>
    <s v="Begin deep police wife."/>
    <x v="196"/>
    <s v="Travel"/>
    <x v="9"/>
    <s v="651.39"/>
    <x v="0"/>
    <x v="8"/>
    <x v="0"/>
  </r>
  <r>
    <d v="2020-09-23T00:00:00"/>
    <s v="Able teach certain candidate economy."/>
    <x v="197"/>
    <s v="Health &amp; Fitness"/>
    <x v="7"/>
    <s v="67.11"/>
    <x v="0"/>
    <x v="8"/>
    <x v="0"/>
  </r>
  <r>
    <d v="2020-09-23T00:00:00"/>
    <s v="Produce ago."/>
    <x v="198"/>
    <s v="Utilities"/>
    <x v="1"/>
    <s v="980.22"/>
    <x v="0"/>
    <x v="8"/>
    <x v="0"/>
  </r>
  <r>
    <d v="2020-09-25T00:00:00"/>
    <s v="So draw food company."/>
    <x v="199"/>
    <s v="Travel"/>
    <x v="9"/>
    <s v="687.27"/>
    <x v="0"/>
    <x v="8"/>
    <x v="0"/>
  </r>
  <r>
    <d v="2020-09-27T00:00:00"/>
    <s v="Sing message board mean."/>
    <x v="200"/>
    <s v="Entertainment"/>
    <x v="6"/>
    <s v="180.37"/>
    <x v="0"/>
    <x v="8"/>
    <x v="0"/>
  </r>
  <r>
    <d v="2020-09-27T00:00:00"/>
    <s v="Feeling poor all your suggest."/>
    <x v="201"/>
    <s v="Salary"/>
    <x v="8"/>
    <s v="1114.8"/>
    <x v="0"/>
    <x v="8"/>
    <x v="0"/>
  </r>
  <r>
    <d v="2020-09-27T00:00:00"/>
    <s v="Score moment second."/>
    <x v="202"/>
    <s v="Travel"/>
    <x v="9"/>
    <s v="1116.02"/>
    <x v="0"/>
    <x v="8"/>
    <x v="0"/>
  </r>
  <r>
    <d v="2020-09-29T00:00:00"/>
    <s v="Make travel."/>
    <x v="203"/>
    <s v="Salary"/>
    <x v="8"/>
    <s v="1295.35"/>
    <x v="0"/>
    <x v="8"/>
    <x v="0"/>
  </r>
  <r>
    <d v="2020-09-30T00:00:00"/>
    <s v="Focus chance."/>
    <x v="204"/>
    <s v="Food &amp; Drink"/>
    <x v="0"/>
    <s v="195.18"/>
    <x v="0"/>
    <x v="8"/>
    <x v="0"/>
  </r>
  <r>
    <d v="2020-10-01T00:00:00"/>
    <s v="Person one republican."/>
    <x v="205"/>
    <s v="Entertainment"/>
    <x v="6"/>
    <s v="619.35"/>
    <x v="0"/>
    <x v="9"/>
    <x v="0"/>
  </r>
  <r>
    <d v="2020-10-03T00:00:00"/>
    <s v="Most law painting between reduce."/>
    <x v="206"/>
    <s v="Salary"/>
    <x v="8"/>
    <s v="1111.41"/>
    <x v="0"/>
    <x v="9"/>
    <x v="0"/>
  </r>
  <r>
    <d v="2020-10-04T00:00:00"/>
    <s v="Involve thousand including."/>
    <x v="207"/>
    <s v="Health &amp; Fitness"/>
    <x v="7"/>
    <s v="710.1"/>
    <x v="0"/>
    <x v="9"/>
    <x v="0"/>
  </r>
  <r>
    <d v="2020-10-07T00:00:00"/>
    <s v="Rather listen before."/>
    <x v="208"/>
    <s v="Investment"/>
    <x v="3"/>
    <s v="3084.0"/>
    <x v="1"/>
    <x v="9"/>
    <x v="0"/>
  </r>
  <r>
    <d v="2020-10-07T00:00:00"/>
    <s v="It season."/>
    <x v="209"/>
    <s v="Investment"/>
    <x v="3"/>
    <s v="2069.0"/>
    <x v="1"/>
    <x v="9"/>
    <x v="0"/>
  </r>
  <r>
    <d v="2020-10-07T00:00:00"/>
    <s v="Indeed believe interview professor."/>
    <x v="210"/>
    <s v="Travel"/>
    <x v="9"/>
    <s v="510.29"/>
    <x v="0"/>
    <x v="9"/>
    <x v="0"/>
  </r>
  <r>
    <d v="2020-10-08T00:00:00"/>
    <s v="News only no."/>
    <x v="211"/>
    <s v="Salary"/>
    <x v="8"/>
    <s v="560.23"/>
    <x v="0"/>
    <x v="9"/>
    <x v="0"/>
  </r>
  <r>
    <d v="2020-10-08T00:00:00"/>
    <s v="Improve them wait."/>
    <x v="212"/>
    <s v="Travel"/>
    <x v="9"/>
    <s v="1961.22"/>
    <x v="0"/>
    <x v="9"/>
    <x v="0"/>
  </r>
  <r>
    <d v="2020-10-10T00:00:00"/>
    <s v="Official defense."/>
    <x v="213"/>
    <s v="Investment"/>
    <x v="3"/>
    <s v="4875.0"/>
    <x v="1"/>
    <x v="9"/>
    <x v="0"/>
  </r>
  <r>
    <d v="2020-10-10T00:00:00"/>
    <s v="Suggest glass news."/>
    <x v="214"/>
    <s v="Investment"/>
    <x v="3"/>
    <s v="946.0"/>
    <x v="1"/>
    <x v="9"/>
    <x v="0"/>
  </r>
  <r>
    <d v="2020-10-10T00:00:00"/>
    <s v="Why outside."/>
    <x v="215"/>
    <s v="Travel"/>
    <x v="9"/>
    <s v="462.69"/>
    <x v="0"/>
    <x v="9"/>
    <x v="0"/>
  </r>
  <r>
    <d v="2020-10-12T00:00:00"/>
    <s v="Off southern suddenly."/>
    <x v="216"/>
    <s v="Utilities"/>
    <x v="1"/>
    <s v="1279.36"/>
    <x v="0"/>
    <x v="9"/>
    <x v="0"/>
  </r>
  <r>
    <d v="2020-10-14T00:00:00"/>
    <s v="Participant price."/>
    <x v="217"/>
    <s v="Rent"/>
    <x v="2"/>
    <s v="1746.71"/>
    <x v="0"/>
    <x v="9"/>
    <x v="0"/>
  </r>
  <r>
    <d v="2020-10-15T00:00:00"/>
    <s v="Congress reflect."/>
    <x v="218"/>
    <s v="Salary"/>
    <x v="8"/>
    <s v="962.64"/>
    <x v="0"/>
    <x v="9"/>
    <x v="0"/>
  </r>
  <r>
    <d v="2020-10-16T00:00:00"/>
    <s v="Go consider century price."/>
    <x v="219"/>
    <s v="Food &amp; Drink"/>
    <x v="0"/>
    <s v="512.43"/>
    <x v="0"/>
    <x v="9"/>
    <x v="0"/>
  </r>
  <r>
    <d v="2020-10-16T00:00:00"/>
    <s v="Scientist will begin."/>
    <x v="220"/>
    <s v="Rent"/>
    <x v="2"/>
    <s v="1646.01"/>
    <x v="0"/>
    <x v="9"/>
    <x v="0"/>
  </r>
  <r>
    <d v="2020-10-16T00:00:00"/>
    <s v="Heavy law church."/>
    <x v="221"/>
    <s v="Rent"/>
    <x v="2"/>
    <s v="1158.27"/>
    <x v="0"/>
    <x v="9"/>
    <x v="0"/>
  </r>
  <r>
    <d v="2020-10-18T00:00:00"/>
    <s v="Since nothing be apply."/>
    <x v="222"/>
    <s v="Utilities"/>
    <x v="1"/>
    <s v="306.9"/>
    <x v="0"/>
    <x v="9"/>
    <x v="0"/>
  </r>
  <r>
    <d v="2020-10-19T00:00:00"/>
    <s v="Anyone bank kitchen interest parent."/>
    <x v="223"/>
    <s v="Travel"/>
    <x v="9"/>
    <s v="179.51"/>
    <x v="0"/>
    <x v="9"/>
    <x v="0"/>
  </r>
  <r>
    <d v="2020-10-23T00:00:00"/>
    <s v="Democratic mention generation."/>
    <x v="224"/>
    <s v="Shopping"/>
    <x v="4"/>
    <s v="1216.57"/>
    <x v="0"/>
    <x v="9"/>
    <x v="0"/>
  </r>
  <r>
    <d v="2020-10-24T00:00:00"/>
    <s v="Question or money."/>
    <x v="225"/>
    <s v="Entertainment"/>
    <x v="6"/>
    <s v="1553.63"/>
    <x v="0"/>
    <x v="9"/>
    <x v="0"/>
  </r>
  <r>
    <d v="2020-10-26T00:00:00"/>
    <s v="Determine worker."/>
    <x v="226"/>
    <s v="Salary"/>
    <x v="8"/>
    <s v="601.73"/>
    <x v="0"/>
    <x v="9"/>
    <x v="0"/>
  </r>
  <r>
    <d v="2020-10-27T00:00:00"/>
    <s v="Can mouth discover."/>
    <x v="227"/>
    <s v="Entertainment"/>
    <x v="6"/>
    <s v="536.65"/>
    <x v="0"/>
    <x v="9"/>
    <x v="0"/>
  </r>
  <r>
    <d v="2020-10-27T00:00:00"/>
    <s v="Face build market."/>
    <x v="228"/>
    <s v="Rent"/>
    <x v="2"/>
    <s v="1895.7"/>
    <x v="0"/>
    <x v="9"/>
    <x v="0"/>
  </r>
  <r>
    <d v="2020-10-27T00:00:00"/>
    <s v="Daughter war."/>
    <x v="229"/>
    <s v="Shopping"/>
    <x v="4"/>
    <s v="617.71"/>
    <x v="0"/>
    <x v="9"/>
    <x v="0"/>
  </r>
  <r>
    <d v="2020-10-28T00:00:00"/>
    <s v="Author technology amount affect."/>
    <x v="230"/>
    <s v="Investment"/>
    <x v="3"/>
    <s v="1923.0"/>
    <x v="1"/>
    <x v="9"/>
    <x v="0"/>
  </r>
  <r>
    <d v="2020-10-29T00:00:00"/>
    <s v="Office of remember individual."/>
    <x v="231"/>
    <s v="Utilities"/>
    <x v="1"/>
    <s v="15.32"/>
    <x v="0"/>
    <x v="9"/>
    <x v="0"/>
  </r>
  <r>
    <d v="2020-10-30T00:00:00"/>
    <s v="Again foot soon peace."/>
    <x v="232"/>
    <s v="Salary"/>
    <x v="8"/>
    <s v="589.61"/>
    <x v="0"/>
    <x v="9"/>
    <x v="0"/>
  </r>
  <r>
    <d v="2020-10-31T00:00:00"/>
    <s v="Join black."/>
    <x v="233"/>
    <s v="Travel"/>
    <x v="9"/>
    <s v="1408.95"/>
    <x v="0"/>
    <x v="9"/>
    <x v="0"/>
  </r>
  <r>
    <d v="2020-11-01T00:00:00"/>
    <s v="Hundred bad that second develop."/>
    <x v="234"/>
    <s v="Entertainment"/>
    <x v="6"/>
    <s v="1848.58"/>
    <x v="0"/>
    <x v="10"/>
    <x v="0"/>
  </r>
  <r>
    <d v="2020-11-01T00:00:00"/>
    <s v="Member box."/>
    <x v="235"/>
    <s v="Entertainment"/>
    <x v="6"/>
    <s v="856.03"/>
    <x v="0"/>
    <x v="10"/>
    <x v="0"/>
  </r>
  <r>
    <d v="2020-11-02T00:00:00"/>
    <s v="Town glass road."/>
    <x v="236"/>
    <s v="Utilities"/>
    <x v="1"/>
    <s v="1817.74"/>
    <x v="0"/>
    <x v="10"/>
    <x v="0"/>
  </r>
  <r>
    <d v="2020-11-04T00:00:00"/>
    <s v="Bill eight community."/>
    <x v="237"/>
    <s v="Rent"/>
    <x v="2"/>
    <s v="128.68"/>
    <x v="0"/>
    <x v="10"/>
    <x v="0"/>
  </r>
  <r>
    <d v="2020-11-06T00:00:00"/>
    <s v="Concern significant."/>
    <x v="238"/>
    <s v="Travel"/>
    <x v="9"/>
    <s v="883.92"/>
    <x v="0"/>
    <x v="10"/>
    <x v="0"/>
  </r>
  <r>
    <d v="2020-11-07T00:00:00"/>
    <s v="Senior service large under."/>
    <x v="239"/>
    <s v="Travel"/>
    <x v="9"/>
    <s v="1402.47"/>
    <x v="0"/>
    <x v="10"/>
    <x v="0"/>
  </r>
  <r>
    <d v="2020-11-09T00:00:00"/>
    <s v="Follow wife firm key light."/>
    <x v="240"/>
    <s v="Salary"/>
    <x v="8"/>
    <s v="881.14"/>
    <x v="0"/>
    <x v="10"/>
    <x v="0"/>
  </r>
  <r>
    <d v="2020-11-10T00:00:00"/>
    <s v="Also hard expert popular."/>
    <x v="241"/>
    <s v="Food &amp; Drink"/>
    <x v="0"/>
    <s v="191.74"/>
    <x v="0"/>
    <x v="10"/>
    <x v="0"/>
  </r>
  <r>
    <d v="2020-11-10T00:00:00"/>
    <s v="Option goal avoid."/>
    <x v="242"/>
    <s v="Shopping"/>
    <x v="4"/>
    <s v="1471.72"/>
    <x v="0"/>
    <x v="10"/>
    <x v="0"/>
  </r>
  <r>
    <d v="2020-11-12T00:00:00"/>
    <s v="Order his oil west school."/>
    <x v="243"/>
    <s v="Food &amp; Drink"/>
    <x v="0"/>
    <s v="1999.15"/>
    <x v="0"/>
    <x v="10"/>
    <x v="0"/>
  </r>
  <r>
    <d v="2020-11-12T00:00:00"/>
    <s v="Training occur could painting."/>
    <x v="244"/>
    <s v="Travel"/>
    <x v="9"/>
    <s v="1156.73"/>
    <x v="0"/>
    <x v="10"/>
    <x v="0"/>
  </r>
  <r>
    <d v="2020-11-14T00:00:00"/>
    <s v="Yard model particular hair."/>
    <x v="245"/>
    <s v="Salary"/>
    <x v="8"/>
    <s v="1938.42"/>
    <x v="0"/>
    <x v="10"/>
    <x v="0"/>
  </r>
  <r>
    <d v="2020-11-14T00:00:00"/>
    <s v="Impact full our smile."/>
    <x v="246"/>
    <s v="Shopping"/>
    <x v="4"/>
    <s v="673.28"/>
    <x v="0"/>
    <x v="10"/>
    <x v="0"/>
  </r>
  <r>
    <d v="2020-11-14T00:00:00"/>
    <s v="Mean common."/>
    <x v="247"/>
    <s v="Travel"/>
    <x v="9"/>
    <s v="371.16"/>
    <x v="0"/>
    <x v="10"/>
    <x v="0"/>
  </r>
  <r>
    <d v="2020-11-14T00:00:00"/>
    <s v="Whatever late specific."/>
    <x v="248"/>
    <s v="Utilities"/>
    <x v="1"/>
    <s v="946.3"/>
    <x v="0"/>
    <x v="10"/>
    <x v="0"/>
  </r>
  <r>
    <d v="2020-11-15T00:00:00"/>
    <s v="Edge surface who."/>
    <x v="249"/>
    <s v="Travel"/>
    <x v="9"/>
    <s v="1328.54"/>
    <x v="0"/>
    <x v="10"/>
    <x v="0"/>
  </r>
  <r>
    <d v="2020-11-15T00:00:00"/>
    <s v="Form newspaper."/>
    <x v="250"/>
    <s v="Utilities"/>
    <x v="1"/>
    <s v="666.31"/>
    <x v="0"/>
    <x v="10"/>
    <x v="0"/>
  </r>
  <r>
    <d v="2020-11-16T00:00:00"/>
    <s v="Bank professional true financial."/>
    <x v="251"/>
    <s v="Food &amp; Drink"/>
    <x v="0"/>
    <s v="915.1"/>
    <x v="0"/>
    <x v="10"/>
    <x v="0"/>
  </r>
  <r>
    <d v="2020-11-16T00:00:00"/>
    <s v="Organization visit finally."/>
    <x v="252"/>
    <s v="Health &amp; Fitness"/>
    <x v="7"/>
    <s v="240.68"/>
    <x v="0"/>
    <x v="10"/>
    <x v="0"/>
  </r>
  <r>
    <d v="2020-11-17T00:00:00"/>
    <s v="Spend prove stock school."/>
    <x v="253"/>
    <s v="Food &amp; Drink"/>
    <x v="0"/>
    <s v="1318.74"/>
    <x v="0"/>
    <x v="10"/>
    <x v="0"/>
  </r>
  <r>
    <d v="2020-11-20T00:00:00"/>
    <s v="Position interest."/>
    <x v="254"/>
    <s v="Shopping"/>
    <x v="4"/>
    <s v="117.87"/>
    <x v="0"/>
    <x v="10"/>
    <x v="0"/>
  </r>
  <r>
    <d v="2020-11-22T00:00:00"/>
    <s v="Guy congress."/>
    <x v="255"/>
    <s v="Salary"/>
    <x v="8"/>
    <s v="1254.56"/>
    <x v="0"/>
    <x v="10"/>
    <x v="0"/>
  </r>
  <r>
    <d v="2020-11-23T00:00:00"/>
    <s v="Way main difficult case."/>
    <x v="256"/>
    <s v="Entertainment"/>
    <x v="6"/>
    <s v="541.44"/>
    <x v="0"/>
    <x v="10"/>
    <x v="0"/>
  </r>
  <r>
    <d v="2020-11-25T00:00:00"/>
    <s v="Such big side."/>
    <x v="257"/>
    <s v="Other"/>
    <x v="5"/>
    <s v="4089.0"/>
    <x v="1"/>
    <x v="10"/>
    <x v="0"/>
  </r>
  <r>
    <d v="2020-11-25T00:00:00"/>
    <s v="Product then."/>
    <x v="258"/>
    <s v="Salary"/>
    <x v="8"/>
    <s v="251.64"/>
    <x v="0"/>
    <x v="10"/>
    <x v="0"/>
  </r>
  <r>
    <d v="2020-11-26T00:00:00"/>
    <s v="Heavy class story side speak."/>
    <x v="259"/>
    <s v="Entertainment"/>
    <x v="6"/>
    <s v="1422.47"/>
    <x v="0"/>
    <x v="10"/>
    <x v="0"/>
  </r>
  <r>
    <d v="2020-11-27T00:00:00"/>
    <s v="Analysis hair rest wide."/>
    <x v="260"/>
    <s v="Food &amp; Drink"/>
    <x v="0"/>
    <s v="1108.98"/>
    <x v="0"/>
    <x v="10"/>
    <x v="0"/>
  </r>
  <r>
    <d v="2020-11-27T00:00:00"/>
    <s v="Doctor dream whole six."/>
    <x v="261"/>
    <s v="Investment"/>
    <x v="3"/>
    <s v="4280.0"/>
    <x v="1"/>
    <x v="10"/>
    <x v="0"/>
  </r>
  <r>
    <d v="2020-11-29T00:00:00"/>
    <s v="Question now key show."/>
    <x v="262"/>
    <s v="Utilities"/>
    <x v="1"/>
    <s v="1001.77"/>
    <x v="0"/>
    <x v="10"/>
    <x v="0"/>
  </r>
  <r>
    <d v="2020-12-01T00:00:00"/>
    <s v="Month whom stage soon."/>
    <x v="263"/>
    <s v="Travel"/>
    <x v="9"/>
    <s v="836.83"/>
    <x v="0"/>
    <x v="11"/>
    <x v="0"/>
  </r>
  <r>
    <d v="2020-12-05T00:00:00"/>
    <s v="Appear lose he."/>
    <x v="264"/>
    <s v="Salary"/>
    <x v="8"/>
    <s v="495.02"/>
    <x v="0"/>
    <x v="11"/>
    <x v="0"/>
  </r>
  <r>
    <d v="2020-12-05T00:00:00"/>
    <s v="Surface expect several evening town."/>
    <x v="265"/>
    <s v="Shopping"/>
    <x v="4"/>
    <s v="389.31"/>
    <x v="0"/>
    <x v="11"/>
    <x v="0"/>
  </r>
  <r>
    <d v="2020-12-06T00:00:00"/>
    <s v="Begin treat stage this."/>
    <x v="266"/>
    <s v="Utilities"/>
    <x v="1"/>
    <s v="1729.41"/>
    <x v="0"/>
    <x v="11"/>
    <x v="0"/>
  </r>
  <r>
    <d v="2020-12-10T00:00:00"/>
    <s v="Apply maybe dog yes."/>
    <x v="267"/>
    <s v="Shopping"/>
    <x v="4"/>
    <s v="686.35"/>
    <x v="0"/>
    <x v="11"/>
    <x v="0"/>
  </r>
  <r>
    <d v="2020-12-10T00:00:00"/>
    <s v="Agreement us stuff."/>
    <x v="268"/>
    <s v="Travel"/>
    <x v="9"/>
    <s v="1642.89"/>
    <x v="0"/>
    <x v="11"/>
    <x v="0"/>
  </r>
  <r>
    <d v="2020-12-11T00:00:00"/>
    <s v="Case expert stop."/>
    <x v="269"/>
    <s v="Travel"/>
    <x v="9"/>
    <s v="1676.58"/>
    <x v="0"/>
    <x v="11"/>
    <x v="0"/>
  </r>
  <r>
    <d v="2020-12-12T00:00:00"/>
    <s v="Large accept bad eight."/>
    <x v="270"/>
    <s v="Salary"/>
    <x v="8"/>
    <s v="1731.87"/>
    <x v="0"/>
    <x v="11"/>
    <x v="0"/>
  </r>
  <r>
    <d v="2020-12-13T00:00:00"/>
    <s v="Vote participant institution simply down."/>
    <x v="271"/>
    <s v="Salary"/>
    <x v="8"/>
    <s v="696.8"/>
    <x v="0"/>
    <x v="11"/>
    <x v="0"/>
  </r>
  <r>
    <d v="2020-12-14T00:00:00"/>
    <s v="Book toward."/>
    <x v="272"/>
    <s v="Entertainment"/>
    <x v="6"/>
    <s v="1961.74"/>
    <x v="0"/>
    <x v="11"/>
    <x v="0"/>
  </r>
  <r>
    <d v="2020-12-14T00:00:00"/>
    <s v="Draw police."/>
    <x v="273"/>
    <s v="Shopping"/>
    <x v="4"/>
    <s v="916.14"/>
    <x v="0"/>
    <x v="11"/>
    <x v="0"/>
  </r>
  <r>
    <d v="2020-12-16T00:00:00"/>
    <s v="Investment pass drive."/>
    <x v="274"/>
    <s v="Food &amp; Drink"/>
    <x v="0"/>
    <s v="643.17"/>
    <x v="0"/>
    <x v="11"/>
    <x v="0"/>
  </r>
  <r>
    <d v="2020-12-16T00:00:00"/>
    <s v="Place offer."/>
    <x v="275"/>
    <s v="Shopping"/>
    <x v="4"/>
    <s v="474.79"/>
    <x v="0"/>
    <x v="11"/>
    <x v="0"/>
  </r>
  <r>
    <d v="2020-12-16T00:00:00"/>
    <s v="Professor beat window."/>
    <x v="276"/>
    <s v="Shopping"/>
    <x v="4"/>
    <s v="778.3"/>
    <x v="0"/>
    <x v="11"/>
    <x v="0"/>
  </r>
  <r>
    <d v="2020-12-18T00:00:00"/>
    <s v="Wonder effect administration small."/>
    <x v="277"/>
    <s v="Other"/>
    <x v="5"/>
    <s v="1322.0"/>
    <x v="1"/>
    <x v="11"/>
    <x v="0"/>
  </r>
  <r>
    <d v="2020-12-18T00:00:00"/>
    <s v="Name skill medical after them."/>
    <x v="278"/>
    <s v="Utilities"/>
    <x v="1"/>
    <s v="995.7"/>
    <x v="0"/>
    <x v="11"/>
    <x v="0"/>
  </r>
  <r>
    <d v="2020-12-20T00:00:00"/>
    <s v="And national spend."/>
    <x v="279"/>
    <s v="Food &amp; Drink"/>
    <x v="0"/>
    <s v="1447.66"/>
    <x v="0"/>
    <x v="11"/>
    <x v="0"/>
  </r>
  <r>
    <d v="2020-12-20T00:00:00"/>
    <s v="Run pick sign."/>
    <x v="280"/>
    <s v="Salary"/>
    <x v="8"/>
    <s v="208.43"/>
    <x v="0"/>
    <x v="11"/>
    <x v="0"/>
  </r>
  <r>
    <d v="2020-12-22T00:00:00"/>
    <s v="Wonder long consider care."/>
    <x v="281"/>
    <s v="Utilities"/>
    <x v="1"/>
    <s v="158.91"/>
    <x v="0"/>
    <x v="11"/>
    <x v="0"/>
  </r>
  <r>
    <d v="2020-12-23T00:00:00"/>
    <s v="Firm financial."/>
    <x v="282"/>
    <s v="Rent"/>
    <x v="2"/>
    <s v="1705.01"/>
    <x v="0"/>
    <x v="11"/>
    <x v="0"/>
  </r>
  <r>
    <d v="2020-12-23T00:00:00"/>
    <s v="Fall analysis."/>
    <x v="283"/>
    <s v="Travel"/>
    <x v="9"/>
    <s v="683.74"/>
    <x v="0"/>
    <x v="11"/>
    <x v="0"/>
  </r>
  <r>
    <d v="2020-12-24T00:00:00"/>
    <s v="List already positive experience television."/>
    <x v="284"/>
    <s v="Shopping"/>
    <x v="4"/>
    <s v="1908.74"/>
    <x v="0"/>
    <x v="11"/>
    <x v="0"/>
  </r>
  <r>
    <d v="2020-12-25T00:00:00"/>
    <s v="Event son join hundred."/>
    <x v="285"/>
    <s v="Salary"/>
    <x v="8"/>
    <s v="1746.04"/>
    <x v="0"/>
    <x v="11"/>
    <x v="0"/>
  </r>
  <r>
    <d v="2020-12-26T00:00:00"/>
    <s v="Fund cost reality happen."/>
    <x v="286"/>
    <s v="Investment"/>
    <x v="3"/>
    <s v="2423.0"/>
    <x v="1"/>
    <x v="11"/>
    <x v="0"/>
  </r>
  <r>
    <d v="2020-12-28T00:00:00"/>
    <s v="Song risk bad."/>
    <x v="287"/>
    <s v="Travel"/>
    <x v="9"/>
    <s v="1994.88"/>
    <x v="0"/>
    <x v="11"/>
    <x v="0"/>
  </r>
  <r>
    <d v="2020-12-30T00:00:00"/>
    <s v="Family bill foreign fast knowledge."/>
    <x v="288"/>
    <s v="Shopping"/>
    <x v="4"/>
    <s v="1956.89"/>
    <x v="0"/>
    <x v="11"/>
    <x v="0"/>
  </r>
  <r>
    <d v="2020-12-31T00:00:00"/>
    <s v="Ready goal amount."/>
    <x v="289"/>
    <s v="Rent"/>
    <x v="2"/>
    <s v="892.92"/>
    <x v="0"/>
    <x v="11"/>
    <x v="0"/>
  </r>
  <r>
    <d v="2021-01-01T00:00:00"/>
    <s v="Your ever woman way avoid."/>
    <x v="290"/>
    <s v="Food &amp; Drink"/>
    <x v="0"/>
    <s v="101.52"/>
    <x v="0"/>
    <x v="0"/>
    <x v="1"/>
  </r>
  <r>
    <d v="2021-01-06T00:00:00"/>
    <s v="Call door."/>
    <x v="291"/>
    <s v="Entertainment"/>
    <x v="6"/>
    <s v="1067.02"/>
    <x v="0"/>
    <x v="0"/>
    <x v="1"/>
  </r>
  <r>
    <d v="2021-01-06T00:00:00"/>
    <s v="Message seek civil all."/>
    <x v="292"/>
    <s v="Travel"/>
    <x v="9"/>
    <s v="723.34"/>
    <x v="0"/>
    <x v="0"/>
    <x v="1"/>
  </r>
  <r>
    <d v="2021-01-08T00:00:00"/>
    <s v="Him note painting quickly."/>
    <x v="293"/>
    <s v="Utilities"/>
    <x v="1"/>
    <s v="348.27"/>
    <x v="0"/>
    <x v="0"/>
    <x v="1"/>
  </r>
  <r>
    <d v="2021-01-10T00:00:00"/>
    <s v="Know baby case happen."/>
    <x v="294"/>
    <s v="Other"/>
    <x v="5"/>
    <s v="2472.0"/>
    <x v="1"/>
    <x v="0"/>
    <x v="1"/>
  </r>
  <r>
    <d v="2021-01-10T00:00:00"/>
    <s v="Economic box save."/>
    <x v="295"/>
    <s v="Utilities"/>
    <x v="1"/>
    <s v="472.06"/>
    <x v="0"/>
    <x v="0"/>
    <x v="1"/>
  </r>
  <r>
    <d v="2021-01-11T00:00:00"/>
    <s v="Hit no energy employee land."/>
    <x v="296"/>
    <s v="Salary"/>
    <x v="8"/>
    <s v="518.1"/>
    <x v="0"/>
    <x v="0"/>
    <x v="1"/>
  </r>
  <r>
    <d v="2021-01-12T00:00:00"/>
    <s v="Customer career available common."/>
    <x v="297"/>
    <s v="Other"/>
    <x v="5"/>
    <s v="2856.0"/>
    <x v="1"/>
    <x v="0"/>
    <x v="1"/>
  </r>
  <r>
    <d v="2021-01-13T00:00:00"/>
    <s v="Remember nearly face feel."/>
    <x v="298"/>
    <s v="Travel"/>
    <x v="9"/>
    <s v="1281.49"/>
    <x v="0"/>
    <x v="0"/>
    <x v="1"/>
  </r>
  <r>
    <d v="2021-01-13T00:00:00"/>
    <s v="Specific whose."/>
    <x v="299"/>
    <s v="Utilities"/>
    <x v="1"/>
    <s v="156.99"/>
    <x v="0"/>
    <x v="0"/>
    <x v="1"/>
  </r>
  <r>
    <d v="2021-01-14T00:00:00"/>
    <s v="Door management guess."/>
    <x v="300"/>
    <s v="Shopping"/>
    <x v="4"/>
    <s v="1708.14"/>
    <x v="0"/>
    <x v="0"/>
    <x v="1"/>
  </r>
  <r>
    <d v="2021-01-14T00:00:00"/>
    <s v="Soldier meeting building."/>
    <x v="301"/>
    <s v="Travel"/>
    <x v="9"/>
    <s v="919.1"/>
    <x v="0"/>
    <x v="0"/>
    <x v="1"/>
  </r>
  <r>
    <d v="2021-01-15T00:00:00"/>
    <s v="Level work candidate this."/>
    <x v="302"/>
    <s v="Other"/>
    <x v="5"/>
    <s v="3440.0"/>
    <x v="1"/>
    <x v="0"/>
    <x v="1"/>
  </r>
  <r>
    <d v="2021-01-15T00:00:00"/>
    <s v="Huge response long."/>
    <x v="303"/>
    <s v="Travel"/>
    <x v="9"/>
    <s v="53.66"/>
    <x v="0"/>
    <x v="0"/>
    <x v="1"/>
  </r>
  <r>
    <d v="2021-01-17T00:00:00"/>
    <s v="Quite general there sister."/>
    <x v="304"/>
    <s v="Food &amp; Drink"/>
    <x v="0"/>
    <s v="1822.13"/>
    <x v="0"/>
    <x v="0"/>
    <x v="1"/>
  </r>
  <r>
    <d v="2021-01-17T00:00:00"/>
    <s v="Statement available win politics."/>
    <x v="305"/>
    <s v="Shopping"/>
    <x v="4"/>
    <s v="556.22"/>
    <x v="0"/>
    <x v="0"/>
    <x v="1"/>
  </r>
  <r>
    <d v="2021-01-19T00:00:00"/>
    <s v="Item treat area."/>
    <x v="306"/>
    <s v="Travel"/>
    <x v="9"/>
    <s v="1553.72"/>
    <x v="0"/>
    <x v="0"/>
    <x v="1"/>
  </r>
  <r>
    <d v="2021-01-20T00:00:00"/>
    <s v="Check clearly follow remember generation."/>
    <x v="307"/>
    <s v="Health &amp; Fitness"/>
    <x v="7"/>
    <s v="445.82"/>
    <x v="0"/>
    <x v="0"/>
    <x v="1"/>
  </r>
  <r>
    <d v="2021-01-24T00:00:00"/>
    <s v="Suffer economy play."/>
    <x v="308"/>
    <s v="Other"/>
    <x v="5"/>
    <s v="1620.0"/>
    <x v="1"/>
    <x v="0"/>
    <x v="1"/>
  </r>
  <r>
    <d v="2021-01-26T00:00:00"/>
    <s v="By field move."/>
    <x v="309"/>
    <s v="Food &amp; Drink"/>
    <x v="0"/>
    <s v="624.78"/>
    <x v="0"/>
    <x v="0"/>
    <x v="1"/>
  </r>
  <r>
    <d v="2021-01-27T00:00:00"/>
    <s v="Option oil commercial."/>
    <x v="310"/>
    <s v="Health &amp; Fitness"/>
    <x v="7"/>
    <s v="1467.4"/>
    <x v="0"/>
    <x v="0"/>
    <x v="1"/>
  </r>
  <r>
    <d v="2021-01-27T00:00:00"/>
    <s v="Nation politics few each southern."/>
    <x v="311"/>
    <s v="Health &amp; Fitness"/>
    <x v="7"/>
    <s v="1066.4"/>
    <x v="0"/>
    <x v="0"/>
    <x v="1"/>
  </r>
  <r>
    <d v="2021-01-27T00:00:00"/>
    <s v="American tell ball we side."/>
    <x v="312"/>
    <s v="Other"/>
    <x v="5"/>
    <s v="3176.0"/>
    <x v="1"/>
    <x v="0"/>
    <x v="1"/>
  </r>
  <r>
    <d v="2021-01-27T00:00:00"/>
    <s v="Short indicate police."/>
    <x v="313"/>
    <s v="Utilities"/>
    <x v="1"/>
    <s v="409.58"/>
    <x v="0"/>
    <x v="0"/>
    <x v="1"/>
  </r>
  <r>
    <d v="2021-01-29T00:00:00"/>
    <s v="Law read citizen."/>
    <x v="314"/>
    <s v="Utilities"/>
    <x v="1"/>
    <s v="521.37"/>
    <x v="0"/>
    <x v="0"/>
    <x v="1"/>
  </r>
  <r>
    <d v="2021-02-02T00:00:00"/>
    <s v="Less future century technology."/>
    <x v="315"/>
    <s v="Salary"/>
    <x v="8"/>
    <s v="1935.09"/>
    <x v="0"/>
    <x v="1"/>
    <x v="1"/>
  </r>
  <r>
    <d v="2021-02-05T00:00:00"/>
    <s v="Wish candidate have no."/>
    <x v="316"/>
    <s v="Health &amp; Fitness"/>
    <x v="7"/>
    <s v="1610.42"/>
    <x v="0"/>
    <x v="1"/>
    <x v="1"/>
  </r>
  <r>
    <d v="2021-02-05T00:00:00"/>
    <s v="Letter environment easy."/>
    <x v="317"/>
    <s v="Rent"/>
    <x v="2"/>
    <s v="290.11"/>
    <x v="0"/>
    <x v="1"/>
    <x v="1"/>
  </r>
  <r>
    <d v="2021-02-08T00:00:00"/>
    <s v="While total spend."/>
    <x v="318"/>
    <s v="Health &amp; Fitness"/>
    <x v="7"/>
    <s v="189.7"/>
    <x v="0"/>
    <x v="1"/>
    <x v="1"/>
  </r>
  <r>
    <d v="2021-02-08T00:00:00"/>
    <s v="Face his."/>
    <x v="319"/>
    <s v="Shopping"/>
    <x v="4"/>
    <s v="1934.87"/>
    <x v="0"/>
    <x v="1"/>
    <x v="1"/>
  </r>
  <r>
    <d v="2021-02-09T00:00:00"/>
    <s v="Couple city you level."/>
    <x v="320"/>
    <s v="Travel"/>
    <x v="9"/>
    <s v="1077.78"/>
    <x v="0"/>
    <x v="1"/>
    <x v="1"/>
  </r>
  <r>
    <d v="2021-02-09T00:00:00"/>
    <s v="Age war measure whom."/>
    <x v="321"/>
    <s v="Travel"/>
    <x v="9"/>
    <s v="1173.27"/>
    <x v="0"/>
    <x v="1"/>
    <x v="1"/>
  </r>
  <r>
    <d v="2021-02-11T00:00:00"/>
    <s v="Mr suggest issue."/>
    <x v="322"/>
    <s v="Food &amp; Drink"/>
    <x v="0"/>
    <s v="1242.9"/>
    <x v="0"/>
    <x v="1"/>
    <x v="1"/>
  </r>
  <r>
    <d v="2021-02-11T00:00:00"/>
    <s v="Good anything manager think pressure."/>
    <x v="323"/>
    <s v="Health &amp; Fitness"/>
    <x v="7"/>
    <s v="225.61"/>
    <x v="0"/>
    <x v="1"/>
    <x v="1"/>
  </r>
  <r>
    <d v="2021-02-13T00:00:00"/>
    <s v="Shake hand hundred now."/>
    <x v="324"/>
    <s v="Health &amp; Fitness"/>
    <x v="7"/>
    <s v="1831.36"/>
    <x v="0"/>
    <x v="1"/>
    <x v="1"/>
  </r>
  <r>
    <d v="2021-02-16T00:00:00"/>
    <s v="Network available mean share."/>
    <x v="325"/>
    <s v="Rent"/>
    <x v="2"/>
    <s v="1274.45"/>
    <x v="0"/>
    <x v="1"/>
    <x v="1"/>
  </r>
  <r>
    <d v="2021-02-18T00:00:00"/>
    <s v="Quite budget window hour some."/>
    <x v="326"/>
    <s v="Travel"/>
    <x v="9"/>
    <s v="1301.99"/>
    <x v="0"/>
    <x v="1"/>
    <x v="1"/>
  </r>
  <r>
    <d v="2021-02-19T00:00:00"/>
    <s v="Voice sense current meeting matter."/>
    <x v="327"/>
    <s v="Investment"/>
    <x v="3"/>
    <s v="804.0"/>
    <x v="1"/>
    <x v="1"/>
    <x v="1"/>
  </r>
  <r>
    <d v="2021-02-20T00:00:00"/>
    <s v="Case four."/>
    <x v="328"/>
    <s v="Salary"/>
    <x v="8"/>
    <s v="241.08"/>
    <x v="0"/>
    <x v="1"/>
    <x v="1"/>
  </r>
  <r>
    <d v="2021-02-21T00:00:00"/>
    <s v="Lead paper middle foreign party."/>
    <x v="329"/>
    <s v="Utilities"/>
    <x v="1"/>
    <s v="783.41"/>
    <x v="0"/>
    <x v="1"/>
    <x v="1"/>
  </r>
  <r>
    <d v="2021-02-23T00:00:00"/>
    <s v="Wrong school federal from."/>
    <x v="330"/>
    <s v="Shopping"/>
    <x v="4"/>
    <s v="1178.81"/>
    <x v="0"/>
    <x v="1"/>
    <x v="1"/>
  </r>
  <r>
    <d v="2021-02-24T00:00:00"/>
    <s v="Majority none little admit former."/>
    <x v="331"/>
    <s v="Shopping"/>
    <x v="4"/>
    <s v="1313.29"/>
    <x v="0"/>
    <x v="1"/>
    <x v="1"/>
  </r>
  <r>
    <d v="2021-02-27T00:00:00"/>
    <s v="On someone rise read."/>
    <x v="332"/>
    <s v="Shopping"/>
    <x v="4"/>
    <s v="1878.72"/>
    <x v="0"/>
    <x v="1"/>
    <x v="1"/>
  </r>
  <r>
    <d v="2021-02-28T00:00:00"/>
    <s v="Listen whose situation simply officer."/>
    <x v="333"/>
    <s v="Health &amp; Fitness"/>
    <x v="7"/>
    <s v="442.37"/>
    <x v="0"/>
    <x v="1"/>
    <x v="1"/>
  </r>
  <r>
    <d v="2021-03-02T00:00:00"/>
    <s v="Lose modern return simple herself."/>
    <x v="334"/>
    <s v="Entertainment"/>
    <x v="6"/>
    <s v="1712.35"/>
    <x v="0"/>
    <x v="2"/>
    <x v="1"/>
  </r>
  <r>
    <d v="2021-03-02T00:00:00"/>
    <s v="Kid industry."/>
    <x v="335"/>
    <s v="Health &amp; Fitness"/>
    <x v="7"/>
    <s v="130.49"/>
    <x v="0"/>
    <x v="2"/>
    <x v="1"/>
  </r>
  <r>
    <d v="2021-03-02T00:00:00"/>
    <s v="Occur red."/>
    <x v="336"/>
    <s v="Other"/>
    <x v="5"/>
    <s v="4960.0"/>
    <x v="1"/>
    <x v="2"/>
    <x v="1"/>
  </r>
  <r>
    <d v="2021-03-04T00:00:00"/>
    <s v="Improve simple turn."/>
    <x v="337"/>
    <s v="Rent"/>
    <x v="2"/>
    <s v="1898.53"/>
    <x v="0"/>
    <x v="2"/>
    <x v="1"/>
  </r>
  <r>
    <d v="2021-03-05T00:00:00"/>
    <s v="Heavy what least mouth national."/>
    <x v="338"/>
    <s v="Food &amp; Drink"/>
    <x v="0"/>
    <s v="110.65"/>
    <x v="0"/>
    <x v="2"/>
    <x v="1"/>
  </r>
  <r>
    <d v="2021-03-05T00:00:00"/>
    <s v="Million night your."/>
    <x v="339"/>
    <s v="Rent"/>
    <x v="2"/>
    <s v="1328.91"/>
    <x v="0"/>
    <x v="2"/>
    <x v="1"/>
  </r>
  <r>
    <d v="2021-03-07T00:00:00"/>
    <s v="Relate real major."/>
    <x v="340"/>
    <s v="Entertainment"/>
    <x v="6"/>
    <s v="1176.9"/>
    <x v="0"/>
    <x v="2"/>
    <x v="1"/>
  </r>
  <r>
    <d v="2021-03-07T00:00:00"/>
    <s v="Machine whatever everything fear walk."/>
    <x v="341"/>
    <s v="Utilities"/>
    <x v="1"/>
    <s v="1576.09"/>
    <x v="0"/>
    <x v="2"/>
    <x v="1"/>
  </r>
  <r>
    <d v="2021-03-08T00:00:00"/>
    <s v="Night various return explain."/>
    <x v="342"/>
    <s v="Entertainment"/>
    <x v="6"/>
    <s v="663.83"/>
    <x v="0"/>
    <x v="2"/>
    <x v="1"/>
  </r>
  <r>
    <d v="2021-03-09T00:00:00"/>
    <s v="Here woman stand west source."/>
    <x v="343"/>
    <s v="Investment"/>
    <x v="3"/>
    <s v="2771.0"/>
    <x v="1"/>
    <x v="2"/>
    <x v="1"/>
  </r>
  <r>
    <d v="2021-03-09T00:00:00"/>
    <s v="Explain research."/>
    <x v="344"/>
    <s v="Utilities"/>
    <x v="1"/>
    <s v="1975.18"/>
    <x v="0"/>
    <x v="2"/>
    <x v="1"/>
  </r>
  <r>
    <d v="2021-03-10T00:00:00"/>
    <s v="Pretty section degree still."/>
    <x v="345"/>
    <s v="Utilities"/>
    <x v="1"/>
    <s v="228.75"/>
    <x v="0"/>
    <x v="2"/>
    <x v="1"/>
  </r>
  <r>
    <d v="2021-03-12T00:00:00"/>
    <s v="Receive case past only drug."/>
    <x v="346"/>
    <s v="Utilities"/>
    <x v="1"/>
    <s v="39.57"/>
    <x v="0"/>
    <x v="2"/>
    <x v="1"/>
  </r>
  <r>
    <d v="2021-03-15T00:00:00"/>
    <s v="Point appear including."/>
    <x v="347"/>
    <s v="Entertainment"/>
    <x v="6"/>
    <s v="1181.82"/>
    <x v="0"/>
    <x v="2"/>
    <x v="1"/>
  </r>
  <r>
    <d v="2021-03-15T00:00:00"/>
    <s v="Race case."/>
    <x v="348"/>
    <s v="Other"/>
    <x v="5"/>
    <s v="929.0"/>
    <x v="1"/>
    <x v="2"/>
    <x v="1"/>
  </r>
  <r>
    <d v="2021-03-16T00:00:00"/>
    <s v="Sense expert experience."/>
    <x v="349"/>
    <s v="Investment"/>
    <x v="3"/>
    <s v="4401.0"/>
    <x v="1"/>
    <x v="2"/>
    <x v="1"/>
  </r>
  <r>
    <d v="2021-03-16T00:00:00"/>
    <s v="Imagine various there."/>
    <x v="350"/>
    <s v="Other"/>
    <x v="5"/>
    <s v="4809.0"/>
    <x v="1"/>
    <x v="2"/>
    <x v="1"/>
  </r>
  <r>
    <d v="2021-03-17T00:00:00"/>
    <s v="Present discussion."/>
    <x v="351"/>
    <s v="Health &amp; Fitness"/>
    <x v="7"/>
    <s v="1031.34"/>
    <x v="0"/>
    <x v="2"/>
    <x v="1"/>
  </r>
  <r>
    <d v="2021-03-17T00:00:00"/>
    <s v="Individual study value."/>
    <x v="352"/>
    <s v="Investment"/>
    <x v="3"/>
    <s v="855.0"/>
    <x v="1"/>
    <x v="2"/>
    <x v="1"/>
  </r>
  <r>
    <d v="2021-03-18T00:00:00"/>
    <s v="Small control see the."/>
    <x v="353"/>
    <s v="Travel"/>
    <x v="9"/>
    <s v="921.5"/>
    <x v="0"/>
    <x v="2"/>
    <x v="1"/>
  </r>
  <r>
    <d v="2021-03-19T00:00:00"/>
    <s v="Across nothing."/>
    <x v="354"/>
    <s v="Food &amp; Drink"/>
    <x v="0"/>
    <s v="1997.19"/>
    <x v="0"/>
    <x v="2"/>
    <x v="1"/>
  </r>
  <r>
    <d v="2021-03-20T00:00:00"/>
    <s v="Expect writer myself management."/>
    <x v="355"/>
    <s v="Shopping"/>
    <x v="4"/>
    <s v="1375.33"/>
    <x v="0"/>
    <x v="2"/>
    <x v="1"/>
  </r>
  <r>
    <d v="2021-03-21T00:00:00"/>
    <s v="Life cover both class."/>
    <x v="356"/>
    <s v="Salary"/>
    <x v="8"/>
    <s v="156.25"/>
    <x v="0"/>
    <x v="2"/>
    <x v="1"/>
  </r>
  <r>
    <d v="2021-03-22T00:00:00"/>
    <s v="Responsibility add front."/>
    <x v="357"/>
    <s v="Investment"/>
    <x v="3"/>
    <s v="1038.0"/>
    <x v="1"/>
    <x v="2"/>
    <x v="1"/>
  </r>
  <r>
    <d v="2021-03-22T00:00:00"/>
    <s v="Purpose cover particularly police if."/>
    <x v="358"/>
    <s v="Other"/>
    <x v="5"/>
    <s v="3620.0"/>
    <x v="1"/>
    <x v="2"/>
    <x v="1"/>
  </r>
  <r>
    <d v="2021-03-22T00:00:00"/>
    <s v="Foreign husband believe word local."/>
    <x v="359"/>
    <s v="Travel"/>
    <x v="9"/>
    <s v="912.89"/>
    <x v="0"/>
    <x v="2"/>
    <x v="1"/>
  </r>
  <r>
    <d v="2021-03-23T00:00:00"/>
    <s v="Few reveal activity president."/>
    <x v="360"/>
    <s v="Investment"/>
    <x v="3"/>
    <s v="4023.0"/>
    <x v="1"/>
    <x v="2"/>
    <x v="1"/>
  </r>
  <r>
    <d v="2021-03-23T00:00:00"/>
    <s v="End dog."/>
    <x v="361"/>
    <s v="Rent"/>
    <x v="2"/>
    <s v="1588.26"/>
    <x v="0"/>
    <x v="2"/>
    <x v="1"/>
  </r>
  <r>
    <d v="2021-03-24T00:00:00"/>
    <s v="Property let."/>
    <x v="362"/>
    <s v="Entertainment"/>
    <x v="6"/>
    <s v="833.49"/>
    <x v="0"/>
    <x v="2"/>
    <x v="1"/>
  </r>
  <r>
    <d v="2021-03-25T00:00:00"/>
    <s v="Rather type thousand show."/>
    <x v="363"/>
    <s v="Shopping"/>
    <x v="4"/>
    <s v="837.82"/>
    <x v="0"/>
    <x v="2"/>
    <x v="1"/>
  </r>
  <r>
    <d v="2021-03-26T00:00:00"/>
    <s v="Happen determine whatever."/>
    <x v="364"/>
    <s v="Other"/>
    <x v="5"/>
    <s v="3060.0"/>
    <x v="1"/>
    <x v="2"/>
    <x v="1"/>
  </r>
  <r>
    <d v="2021-03-27T00:00:00"/>
    <s v="Lawyer writer health."/>
    <x v="365"/>
    <s v="Health &amp; Fitness"/>
    <x v="7"/>
    <s v="1907.65"/>
    <x v="0"/>
    <x v="2"/>
    <x v="1"/>
  </r>
  <r>
    <d v="2021-03-28T00:00:00"/>
    <s v="Serious soon stay seven."/>
    <x v="366"/>
    <s v="Salary"/>
    <x v="8"/>
    <s v="143.6"/>
    <x v="0"/>
    <x v="2"/>
    <x v="1"/>
  </r>
  <r>
    <d v="2021-03-29T00:00:00"/>
    <s v="Land region back nor article."/>
    <x v="367"/>
    <s v="Rent"/>
    <x v="2"/>
    <s v="869.43"/>
    <x v="0"/>
    <x v="2"/>
    <x v="1"/>
  </r>
  <r>
    <d v="2021-03-30T00:00:00"/>
    <s v="Dark mr clearly take."/>
    <x v="368"/>
    <s v="Health &amp; Fitness"/>
    <x v="7"/>
    <s v="1625.42"/>
    <x v="0"/>
    <x v="2"/>
    <x v="1"/>
  </r>
  <r>
    <d v="2021-04-01T00:00:00"/>
    <s v="Quite response."/>
    <x v="369"/>
    <s v="Health &amp; Fitness"/>
    <x v="7"/>
    <s v="1343.33"/>
    <x v="0"/>
    <x v="3"/>
    <x v="1"/>
  </r>
  <r>
    <d v="2021-04-02T00:00:00"/>
    <s v="Together knowledge."/>
    <x v="370"/>
    <s v="Shopping"/>
    <x v="4"/>
    <s v="1737.5"/>
    <x v="0"/>
    <x v="3"/>
    <x v="1"/>
  </r>
  <r>
    <d v="2021-04-03T00:00:00"/>
    <s v="How staff."/>
    <x v="371"/>
    <s v="Entertainment"/>
    <x v="6"/>
    <s v="317.91"/>
    <x v="0"/>
    <x v="3"/>
    <x v="1"/>
  </r>
  <r>
    <d v="2021-04-03T00:00:00"/>
    <s v="Authority interest red must art."/>
    <x v="372"/>
    <s v="Rent"/>
    <x v="2"/>
    <s v="706.73"/>
    <x v="0"/>
    <x v="3"/>
    <x v="1"/>
  </r>
  <r>
    <d v="2021-04-03T00:00:00"/>
    <s v="Car indeed nor next."/>
    <x v="373"/>
    <s v="Travel"/>
    <x v="9"/>
    <s v="1204.82"/>
    <x v="0"/>
    <x v="3"/>
    <x v="1"/>
  </r>
  <r>
    <d v="2021-04-08T00:00:00"/>
    <s v="All important shoulder she."/>
    <x v="374"/>
    <s v="Rent"/>
    <x v="2"/>
    <s v="1527.59"/>
    <x v="0"/>
    <x v="3"/>
    <x v="1"/>
  </r>
  <r>
    <d v="2021-04-08T00:00:00"/>
    <s v="Year him thank trade."/>
    <x v="375"/>
    <s v="Shopping"/>
    <x v="4"/>
    <s v="1691.86"/>
    <x v="0"/>
    <x v="3"/>
    <x v="1"/>
  </r>
  <r>
    <d v="2021-04-09T00:00:00"/>
    <s v="Radio product."/>
    <x v="376"/>
    <s v="Food &amp; Drink"/>
    <x v="0"/>
    <s v="1221.9"/>
    <x v="0"/>
    <x v="3"/>
    <x v="1"/>
  </r>
  <r>
    <d v="2021-04-11T00:00:00"/>
    <s v="President girl condition."/>
    <x v="377"/>
    <s v="Travel"/>
    <x v="9"/>
    <s v="67.62"/>
    <x v="0"/>
    <x v="3"/>
    <x v="1"/>
  </r>
  <r>
    <d v="2021-04-11T00:00:00"/>
    <s v="More road development about."/>
    <x v="378"/>
    <s v="Travel"/>
    <x v="9"/>
    <s v="1843.86"/>
    <x v="0"/>
    <x v="3"/>
    <x v="1"/>
  </r>
  <r>
    <d v="2021-04-12T00:00:00"/>
    <s v="Leg rest interest."/>
    <x v="379"/>
    <s v="Utilities"/>
    <x v="1"/>
    <s v="1741.03"/>
    <x v="0"/>
    <x v="3"/>
    <x v="1"/>
  </r>
  <r>
    <d v="2021-04-13T00:00:00"/>
    <s v="Easy get every."/>
    <x v="380"/>
    <s v="Shopping"/>
    <x v="4"/>
    <s v="148.47"/>
    <x v="0"/>
    <x v="3"/>
    <x v="1"/>
  </r>
  <r>
    <d v="2021-04-18T00:00:00"/>
    <s v="Special information."/>
    <x v="381"/>
    <s v="Food &amp; Drink"/>
    <x v="0"/>
    <s v="192.6"/>
    <x v="0"/>
    <x v="3"/>
    <x v="1"/>
  </r>
  <r>
    <d v="2021-04-19T00:00:00"/>
    <s v="Scientist i doctor."/>
    <x v="382"/>
    <s v="Health &amp; Fitness"/>
    <x v="7"/>
    <s v="630.16"/>
    <x v="0"/>
    <x v="3"/>
    <x v="1"/>
  </r>
  <r>
    <d v="2021-04-19T00:00:00"/>
    <s v="Five our pull fly few."/>
    <x v="383"/>
    <s v="Investment"/>
    <x v="3"/>
    <s v="1168.0"/>
    <x v="1"/>
    <x v="3"/>
    <x v="1"/>
  </r>
  <r>
    <d v="2021-04-19T00:00:00"/>
    <s v="Cell year."/>
    <x v="384"/>
    <s v="Rent"/>
    <x v="2"/>
    <s v="1767.85"/>
    <x v="0"/>
    <x v="3"/>
    <x v="1"/>
  </r>
  <r>
    <d v="2021-04-19T00:00:00"/>
    <s v="Deal beyond almost."/>
    <x v="385"/>
    <s v="Shopping"/>
    <x v="4"/>
    <s v="845.47"/>
    <x v="0"/>
    <x v="3"/>
    <x v="1"/>
  </r>
  <r>
    <d v="2021-04-21T00:00:00"/>
    <s v="Determine feel article we they."/>
    <x v="386"/>
    <s v="Shopping"/>
    <x v="4"/>
    <s v="976.47"/>
    <x v="0"/>
    <x v="3"/>
    <x v="1"/>
  </r>
  <r>
    <d v="2021-04-23T00:00:00"/>
    <s v="Five indicate chance heavy senior."/>
    <x v="387"/>
    <s v="Health &amp; Fitness"/>
    <x v="7"/>
    <s v="865.53"/>
    <x v="0"/>
    <x v="3"/>
    <x v="1"/>
  </r>
  <r>
    <d v="2021-04-23T00:00:00"/>
    <s v="Quickly new another general poor."/>
    <x v="388"/>
    <s v="Travel"/>
    <x v="9"/>
    <s v="438.98"/>
    <x v="0"/>
    <x v="3"/>
    <x v="1"/>
  </r>
  <r>
    <d v="2021-04-24T00:00:00"/>
    <s v="Support feeling remain."/>
    <x v="389"/>
    <s v="Salary"/>
    <x v="8"/>
    <s v="1058.6"/>
    <x v="0"/>
    <x v="3"/>
    <x v="1"/>
  </r>
  <r>
    <d v="2021-04-27T00:00:00"/>
    <s v="None whose."/>
    <x v="390"/>
    <s v="Entertainment"/>
    <x v="6"/>
    <s v="796.57"/>
    <x v="0"/>
    <x v="3"/>
    <x v="1"/>
  </r>
  <r>
    <d v="2021-04-27T00:00:00"/>
    <s v="Care drug data position two."/>
    <x v="391"/>
    <s v="Food &amp; Drink"/>
    <x v="0"/>
    <s v="416.8"/>
    <x v="0"/>
    <x v="3"/>
    <x v="1"/>
  </r>
  <r>
    <d v="2021-04-27T00:00:00"/>
    <s v="Movie stop."/>
    <x v="392"/>
    <s v="Utilities"/>
    <x v="1"/>
    <s v="1530.68"/>
    <x v="0"/>
    <x v="3"/>
    <x v="1"/>
  </r>
  <r>
    <d v="2021-04-30T00:00:00"/>
    <s v="Help painting always."/>
    <x v="393"/>
    <s v="Rent"/>
    <x v="2"/>
    <s v="25.38"/>
    <x v="0"/>
    <x v="3"/>
    <x v="1"/>
  </r>
  <r>
    <d v="2021-05-02T00:00:00"/>
    <s v="Source onto provide."/>
    <x v="394"/>
    <s v="Utilities"/>
    <x v="1"/>
    <s v="267.08"/>
    <x v="0"/>
    <x v="4"/>
    <x v="1"/>
  </r>
  <r>
    <d v="2021-05-04T00:00:00"/>
    <s v="Decade trade field training."/>
    <x v="395"/>
    <s v="Entertainment"/>
    <x v="6"/>
    <s v="1005.52"/>
    <x v="0"/>
    <x v="4"/>
    <x v="1"/>
  </r>
  <r>
    <d v="2021-05-04T00:00:00"/>
    <s v="While bring yourself."/>
    <x v="396"/>
    <s v="Health &amp; Fitness"/>
    <x v="7"/>
    <s v="153.43"/>
    <x v="0"/>
    <x v="4"/>
    <x v="1"/>
  </r>
  <r>
    <d v="2021-05-06T00:00:00"/>
    <s v="Receive region however."/>
    <x v="397"/>
    <s v="Food &amp; Drink"/>
    <x v="0"/>
    <s v="878.08"/>
    <x v="0"/>
    <x v="4"/>
    <x v="1"/>
  </r>
  <r>
    <d v="2021-05-07T00:00:00"/>
    <s v="Focus executive letter possible final."/>
    <x v="398"/>
    <s v="Rent"/>
    <x v="2"/>
    <s v="1725.6"/>
    <x v="0"/>
    <x v="4"/>
    <x v="1"/>
  </r>
  <r>
    <d v="2021-05-07T00:00:00"/>
    <s v="Have including none."/>
    <x v="399"/>
    <s v="Rent"/>
    <x v="2"/>
    <s v="816.01"/>
    <x v="0"/>
    <x v="4"/>
    <x v="1"/>
  </r>
  <r>
    <d v="2021-05-07T00:00:00"/>
    <s v="Third letter sort reveal seven."/>
    <x v="400"/>
    <s v="Shopping"/>
    <x v="4"/>
    <s v="1421.9"/>
    <x v="0"/>
    <x v="4"/>
    <x v="1"/>
  </r>
  <r>
    <d v="2021-05-10T00:00:00"/>
    <s v="Administration network once."/>
    <x v="401"/>
    <s v="Utilities"/>
    <x v="1"/>
    <s v="1604.63"/>
    <x v="0"/>
    <x v="4"/>
    <x v="1"/>
  </r>
  <r>
    <d v="2021-05-11T00:00:00"/>
    <s v="Nearly want front shake."/>
    <x v="402"/>
    <s v="Entertainment"/>
    <x v="6"/>
    <s v="877.0"/>
    <x v="0"/>
    <x v="4"/>
    <x v="1"/>
  </r>
  <r>
    <d v="2021-05-11T00:00:00"/>
    <s v="Charge form here."/>
    <x v="403"/>
    <s v="Health &amp; Fitness"/>
    <x v="7"/>
    <s v="185.38"/>
    <x v="0"/>
    <x v="4"/>
    <x v="1"/>
  </r>
  <r>
    <d v="2021-05-12T00:00:00"/>
    <s v="Leave run goal cause."/>
    <x v="404"/>
    <s v="Rent"/>
    <x v="2"/>
    <s v="797.58"/>
    <x v="0"/>
    <x v="4"/>
    <x v="1"/>
  </r>
  <r>
    <d v="2021-05-14T00:00:00"/>
    <s v="Contain threat wrong whatever."/>
    <x v="405"/>
    <s v="Health &amp; Fitness"/>
    <x v="7"/>
    <s v="450.93"/>
    <x v="0"/>
    <x v="4"/>
    <x v="1"/>
  </r>
  <r>
    <d v="2021-05-14T00:00:00"/>
    <s v="Stuff avoid."/>
    <x v="406"/>
    <s v="Rent"/>
    <x v="2"/>
    <s v="1025.86"/>
    <x v="0"/>
    <x v="4"/>
    <x v="1"/>
  </r>
  <r>
    <d v="2021-05-15T00:00:00"/>
    <s v="Include successful."/>
    <x v="407"/>
    <s v="Investment"/>
    <x v="3"/>
    <s v="3362.0"/>
    <x v="1"/>
    <x v="4"/>
    <x v="1"/>
  </r>
  <r>
    <d v="2021-05-17T00:00:00"/>
    <s v="Religious across."/>
    <x v="408"/>
    <s v="Utilities"/>
    <x v="1"/>
    <s v="480.18"/>
    <x v="0"/>
    <x v="4"/>
    <x v="1"/>
  </r>
  <r>
    <d v="2021-05-19T00:00:00"/>
    <s v="Health pay project pattern."/>
    <x v="409"/>
    <s v="Investment"/>
    <x v="3"/>
    <s v="1921.0"/>
    <x v="1"/>
    <x v="4"/>
    <x v="1"/>
  </r>
  <r>
    <d v="2021-05-22T00:00:00"/>
    <s v="Administration mother in admit."/>
    <x v="410"/>
    <s v="Rent"/>
    <x v="2"/>
    <s v="362.52"/>
    <x v="0"/>
    <x v="4"/>
    <x v="1"/>
  </r>
  <r>
    <d v="2021-05-23T00:00:00"/>
    <s v="Within admit spend purpose south."/>
    <x v="411"/>
    <s v="Salary"/>
    <x v="8"/>
    <s v="933.27"/>
    <x v="0"/>
    <x v="4"/>
    <x v="1"/>
  </r>
  <r>
    <d v="2021-05-24T00:00:00"/>
    <s v="People education great."/>
    <x v="412"/>
    <s v="Health &amp; Fitness"/>
    <x v="7"/>
    <s v="1729.85"/>
    <x v="0"/>
    <x v="4"/>
    <x v="1"/>
  </r>
  <r>
    <d v="2021-05-24T00:00:00"/>
    <s v="Truth modern."/>
    <x v="413"/>
    <s v="Salary"/>
    <x v="8"/>
    <s v="1365.46"/>
    <x v="0"/>
    <x v="4"/>
    <x v="1"/>
  </r>
  <r>
    <d v="2021-05-24T00:00:00"/>
    <s v="Health image."/>
    <x v="414"/>
    <s v="Utilities"/>
    <x v="1"/>
    <s v="885.13"/>
    <x v="0"/>
    <x v="4"/>
    <x v="1"/>
  </r>
  <r>
    <d v="2021-05-25T00:00:00"/>
    <s v="Behavior here."/>
    <x v="415"/>
    <s v="Health &amp; Fitness"/>
    <x v="7"/>
    <s v="1019.6"/>
    <x v="0"/>
    <x v="4"/>
    <x v="1"/>
  </r>
  <r>
    <d v="2021-05-25T00:00:00"/>
    <s v="Wrong difficult range."/>
    <x v="416"/>
    <s v="Travel"/>
    <x v="9"/>
    <s v="1594.7"/>
    <x v="0"/>
    <x v="4"/>
    <x v="1"/>
  </r>
  <r>
    <d v="2021-05-27T00:00:00"/>
    <s v="Argue act commercial matter."/>
    <x v="417"/>
    <s v="Salary"/>
    <x v="8"/>
    <s v="84.84"/>
    <x v="0"/>
    <x v="4"/>
    <x v="1"/>
  </r>
  <r>
    <d v="2021-05-27T00:00:00"/>
    <s v="Not teach believe month."/>
    <x v="418"/>
    <s v="Travel"/>
    <x v="9"/>
    <s v="162.69"/>
    <x v="0"/>
    <x v="4"/>
    <x v="1"/>
  </r>
  <r>
    <d v="2021-05-29T00:00:00"/>
    <s v="Deep test thought."/>
    <x v="419"/>
    <s v="Rent"/>
    <x v="2"/>
    <s v="1233.87"/>
    <x v="0"/>
    <x v="4"/>
    <x v="1"/>
  </r>
  <r>
    <d v="2021-05-30T00:00:00"/>
    <s v="Another avoid understand."/>
    <x v="420"/>
    <s v="Salary"/>
    <x v="8"/>
    <s v="1164.86"/>
    <x v="0"/>
    <x v="4"/>
    <x v="1"/>
  </r>
  <r>
    <d v="2021-05-31T00:00:00"/>
    <s v="Up federal nor note."/>
    <x v="421"/>
    <s v="Entertainment"/>
    <x v="6"/>
    <s v="649.84"/>
    <x v="0"/>
    <x v="4"/>
    <x v="1"/>
  </r>
  <r>
    <d v="2021-05-31T00:00:00"/>
    <s v="Probably conference sure administration debate."/>
    <x v="422"/>
    <s v="Food &amp; Drink"/>
    <x v="0"/>
    <s v="904.97"/>
    <x v="0"/>
    <x v="4"/>
    <x v="1"/>
  </r>
  <r>
    <d v="2021-06-02T00:00:00"/>
    <s v="Approach join stuff future."/>
    <x v="423"/>
    <s v="Health &amp; Fitness"/>
    <x v="7"/>
    <s v="1964.95"/>
    <x v="0"/>
    <x v="5"/>
    <x v="1"/>
  </r>
  <r>
    <d v="2021-06-02T00:00:00"/>
    <s v="Forward sense cause write right."/>
    <x v="424"/>
    <s v="Utilities"/>
    <x v="1"/>
    <s v="1915.87"/>
    <x v="0"/>
    <x v="5"/>
    <x v="1"/>
  </r>
  <r>
    <d v="2021-06-03T00:00:00"/>
    <s v="Ahead event yeah make."/>
    <x v="425"/>
    <s v="Investment"/>
    <x v="3"/>
    <s v="820.0"/>
    <x v="1"/>
    <x v="5"/>
    <x v="1"/>
  </r>
  <r>
    <d v="2021-06-06T00:00:00"/>
    <s v="Wait it quickly produce beat."/>
    <x v="426"/>
    <s v="Salary"/>
    <x v="8"/>
    <s v="1982.06"/>
    <x v="0"/>
    <x v="5"/>
    <x v="1"/>
  </r>
  <r>
    <d v="2021-06-06T00:00:00"/>
    <s v="First blood accept final."/>
    <x v="427"/>
    <s v="Shopping"/>
    <x v="4"/>
    <s v="823.45"/>
    <x v="0"/>
    <x v="5"/>
    <x v="1"/>
  </r>
  <r>
    <d v="2021-06-06T00:00:00"/>
    <s v="Require bank child."/>
    <x v="428"/>
    <s v="Utilities"/>
    <x v="1"/>
    <s v="734.16"/>
    <x v="0"/>
    <x v="5"/>
    <x v="1"/>
  </r>
  <r>
    <d v="2021-06-09T00:00:00"/>
    <s v="Bill beautiful issue."/>
    <x v="429"/>
    <s v="Food &amp; Drink"/>
    <x v="0"/>
    <s v="1580.56"/>
    <x v="0"/>
    <x v="5"/>
    <x v="1"/>
  </r>
  <r>
    <d v="2021-06-11T00:00:00"/>
    <s v="Mention billion bed never others."/>
    <x v="430"/>
    <s v="Rent"/>
    <x v="2"/>
    <s v="666.08"/>
    <x v="0"/>
    <x v="5"/>
    <x v="1"/>
  </r>
  <r>
    <d v="2021-06-11T00:00:00"/>
    <s v="Activity including single right."/>
    <x v="431"/>
    <s v="Shopping"/>
    <x v="4"/>
    <s v="575.45"/>
    <x v="0"/>
    <x v="5"/>
    <x v="1"/>
  </r>
  <r>
    <d v="2021-06-14T00:00:00"/>
    <s v="Occur college herself."/>
    <x v="432"/>
    <s v="Utilities"/>
    <x v="1"/>
    <s v="673.39"/>
    <x v="0"/>
    <x v="5"/>
    <x v="1"/>
  </r>
  <r>
    <d v="2021-06-15T00:00:00"/>
    <s v="Feeling manage as."/>
    <x v="433"/>
    <s v="Utilities"/>
    <x v="1"/>
    <s v="1834.33"/>
    <x v="0"/>
    <x v="5"/>
    <x v="1"/>
  </r>
  <r>
    <d v="2021-06-16T00:00:00"/>
    <s v="Inside machine baby."/>
    <x v="434"/>
    <s v="Shopping"/>
    <x v="4"/>
    <s v="266.61"/>
    <x v="0"/>
    <x v="5"/>
    <x v="1"/>
  </r>
  <r>
    <d v="2021-06-20T00:00:00"/>
    <s v="Career according."/>
    <x v="435"/>
    <s v="Health &amp; Fitness"/>
    <x v="7"/>
    <s v="1628.24"/>
    <x v="0"/>
    <x v="5"/>
    <x v="1"/>
  </r>
  <r>
    <d v="2021-06-20T00:00:00"/>
    <s v="Result many pattern."/>
    <x v="436"/>
    <s v="Rent"/>
    <x v="2"/>
    <s v="626.07"/>
    <x v="0"/>
    <x v="5"/>
    <x v="1"/>
  </r>
  <r>
    <d v="2021-06-22T00:00:00"/>
    <s v="Success here television key."/>
    <x v="437"/>
    <s v="Rent"/>
    <x v="2"/>
    <s v="1295.59"/>
    <x v="0"/>
    <x v="5"/>
    <x v="1"/>
  </r>
  <r>
    <d v="2021-06-23T00:00:00"/>
    <s v="Carry fly water cut fire."/>
    <x v="438"/>
    <s v="Health &amp; Fitness"/>
    <x v="7"/>
    <s v="46.28"/>
    <x v="0"/>
    <x v="5"/>
    <x v="1"/>
  </r>
  <r>
    <d v="2021-06-24T00:00:00"/>
    <s v="Fact reason make office."/>
    <x v="439"/>
    <s v="Entertainment"/>
    <x v="6"/>
    <s v="690.05"/>
    <x v="0"/>
    <x v="5"/>
    <x v="1"/>
  </r>
  <r>
    <d v="2021-06-26T00:00:00"/>
    <s v="Heavy staff hotel box."/>
    <x v="440"/>
    <s v="Entertainment"/>
    <x v="6"/>
    <s v="460.82"/>
    <x v="0"/>
    <x v="5"/>
    <x v="1"/>
  </r>
  <r>
    <d v="2021-06-27T00:00:00"/>
    <s v="Or nation race."/>
    <x v="441"/>
    <s v="Investment"/>
    <x v="3"/>
    <s v="2923.0"/>
    <x v="1"/>
    <x v="5"/>
    <x v="1"/>
  </r>
  <r>
    <d v="2021-06-28T00:00:00"/>
    <s v="Something story attorney summer."/>
    <x v="442"/>
    <s v="Food &amp; Drink"/>
    <x v="0"/>
    <s v="1327.24"/>
    <x v="0"/>
    <x v="5"/>
    <x v="1"/>
  </r>
  <r>
    <d v="2021-06-28T00:00:00"/>
    <s v="Available wrong look husband."/>
    <x v="443"/>
    <s v="Investment"/>
    <x v="3"/>
    <s v="1856.0"/>
    <x v="1"/>
    <x v="5"/>
    <x v="1"/>
  </r>
  <r>
    <d v="2021-06-28T00:00:00"/>
    <s v="Well left."/>
    <x v="444"/>
    <s v="Rent"/>
    <x v="2"/>
    <s v="1020.3"/>
    <x v="0"/>
    <x v="5"/>
    <x v="1"/>
  </r>
  <r>
    <d v="2021-06-28T00:00:00"/>
    <s v="Cause field education child."/>
    <x v="445"/>
    <s v="Utilities"/>
    <x v="1"/>
    <s v="1198.52"/>
    <x v="0"/>
    <x v="5"/>
    <x v="1"/>
  </r>
  <r>
    <d v="2021-06-29T00:00:00"/>
    <s v="Myself so growth time."/>
    <x v="446"/>
    <s v="Food &amp; Drink"/>
    <x v="0"/>
    <s v="827.61"/>
    <x v="0"/>
    <x v="5"/>
    <x v="1"/>
  </r>
  <r>
    <d v="2021-07-04T00:00:00"/>
    <s v="Point be shoulder price great."/>
    <x v="447"/>
    <s v="Entertainment"/>
    <x v="6"/>
    <s v="1939.48"/>
    <x v="0"/>
    <x v="6"/>
    <x v="1"/>
  </r>
  <r>
    <d v="2021-07-04T00:00:00"/>
    <s v="Worker quality hundred sell whole."/>
    <x v="448"/>
    <s v="Salary"/>
    <x v="8"/>
    <s v="475.67"/>
    <x v="0"/>
    <x v="6"/>
    <x v="1"/>
  </r>
  <r>
    <d v="2021-07-04T00:00:00"/>
    <s v="Action else."/>
    <x v="449"/>
    <s v="Salary"/>
    <x v="8"/>
    <s v="1808.91"/>
    <x v="0"/>
    <x v="6"/>
    <x v="1"/>
  </r>
  <r>
    <d v="2021-07-06T00:00:00"/>
    <s v="Newspaper reach determine hear leg."/>
    <x v="450"/>
    <s v="Other"/>
    <x v="5"/>
    <s v="4282.0"/>
    <x v="1"/>
    <x v="6"/>
    <x v="1"/>
  </r>
  <r>
    <d v="2021-07-07T00:00:00"/>
    <s v="General agency bit."/>
    <x v="451"/>
    <s v="Shopping"/>
    <x v="4"/>
    <s v="1010.78"/>
    <x v="0"/>
    <x v="6"/>
    <x v="1"/>
  </r>
  <r>
    <d v="2021-07-09T00:00:00"/>
    <s v="Break wait."/>
    <x v="452"/>
    <s v="Utilities"/>
    <x v="1"/>
    <s v="1635.61"/>
    <x v="0"/>
    <x v="6"/>
    <x v="1"/>
  </r>
  <r>
    <d v="2021-07-09T00:00:00"/>
    <s v="Find lay deal lot."/>
    <x v="453"/>
    <s v="Utilities"/>
    <x v="1"/>
    <s v="1747.27"/>
    <x v="0"/>
    <x v="6"/>
    <x v="1"/>
  </r>
  <r>
    <d v="2021-07-10T00:00:00"/>
    <s v="Just recent."/>
    <x v="454"/>
    <s v="Other"/>
    <x v="5"/>
    <s v="3540.0"/>
    <x v="1"/>
    <x v="6"/>
    <x v="1"/>
  </r>
  <r>
    <d v="2021-07-10T00:00:00"/>
    <s v="Feel special."/>
    <x v="455"/>
    <s v="Rent"/>
    <x v="2"/>
    <s v="1425.69"/>
    <x v="0"/>
    <x v="6"/>
    <x v="1"/>
  </r>
  <r>
    <d v="2021-07-11T00:00:00"/>
    <s v="Support possible."/>
    <x v="456"/>
    <s v="Rent"/>
    <x v="2"/>
    <s v="577.28"/>
    <x v="0"/>
    <x v="6"/>
    <x v="1"/>
  </r>
  <r>
    <d v="2021-07-11T00:00:00"/>
    <s v="Discussion if continue policy."/>
    <x v="457"/>
    <s v="Shopping"/>
    <x v="4"/>
    <s v="192.51"/>
    <x v="0"/>
    <x v="6"/>
    <x v="1"/>
  </r>
  <r>
    <d v="2021-07-11T00:00:00"/>
    <s v="Might necessary former."/>
    <x v="458"/>
    <s v="Travel"/>
    <x v="9"/>
    <s v="904.15"/>
    <x v="0"/>
    <x v="6"/>
    <x v="1"/>
  </r>
  <r>
    <d v="2021-07-12T00:00:00"/>
    <s v="Ahead pass culture or."/>
    <x v="459"/>
    <s v="Salary"/>
    <x v="8"/>
    <s v="1770.41"/>
    <x v="0"/>
    <x v="6"/>
    <x v="1"/>
  </r>
  <r>
    <d v="2021-07-13T00:00:00"/>
    <s v="Relate day."/>
    <x v="460"/>
    <s v="Shopping"/>
    <x v="4"/>
    <s v="115.98"/>
    <x v="0"/>
    <x v="6"/>
    <x v="1"/>
  </r>
  <r>
    <d v="2021-07-14T00:00:00"/>
    <s v="Big the cost for leader."/>
    <x v="461"/>
    <s v="Entertainment"/>
    <x v="6"/>
    <s v="778.47"/>
    <x v="0"/>
    <x v="6"/>
    <x v="1"/>
  </r>
  <r>
    <d v="2021-07-15T00:00:00"/>
    <s v="Month police others particularly."/>
    <x v="462"/>
    <s v="Investment"/>
    <x v="3"/>
    <s v="730.0"/>
    <x v="1"/>
    <x v="6"/>
    <x v="1"/>
  </r>
  <r>
    <d v="2021-07-19T00:00:00"/>
    <s v="Girl suddenly."/>
    <x v="463"/>
    <s v="Rent"/>
    <x v="2"/>
    <s v="1679.96"/>
    <x v="0"/>
    <x v="6"/>
    <x v="1"/>
  </r>
  <r>
    <d v="2021-07-19T00:00:00"/>
    <s v="Try opportunity public."/>
    <x v="464"/>
    <s v="Utilities"/>
    <x v="1"/>
    <s v="283.82"/>
    <x v="0"/>
    <x v="6"/>
    <x v="1"/>
  </r>
  <r>
    <d v="2021-07-23T00:00:00"/>
    <s v="Home others offer institution main."/>
    <x v="465"/>
    <s v="Other"/>
    <x v="5"/>
    <s v="4174.0"/>
    <x v="1"/>
    <x v="6"/>
    <x v="1"/>
  </r>
  <r>
    <d v="2021-07-23T00:00:00"/>
    <s v="Draw bring health."/>
    <x v="466"/>
    <s v="Salary"/>
    <x v="8"/>
    <s v="1395.18"/>
    <x v="0"/>
    <x v="6"/>
    <x v="1"/>
  </r>
  <r>
    <d v="2021-07-24T00:00:00"/>
    <s v="Never majority cell."/>
    <x v="467"/>
    <s v="Rent"/>
    <x v="2"/>
    <s v="47.82"/>
    <x v="0"/>
    <x v="6"/>
    <x v="1"/>
  </r>
  <r>
    <d v="2021-07-28T00:00:00"/>
    <s v="People tend weight machine."/>
    <x v="468"/>
    <s v="Utilities"/>
    <x v="1"/>
    <s v="1102.12"/>
    <x v="0"/>
    <x v="6"/>
    <x v="1"/>
  </r>
  <r>
    <d v="2021-07-29T00:00:00"/>
    <s v="White measure manager range."/>
    <x v="469"/>
    <s v="Shopping"/>
    <x v="4"/>
    <s v="231.26"/>
    <x v="0"/>
    <x v="6"/>
    <x v="1"/>
  </r>
  <r>
    <d v="2021-08-02T00:00:00"/>
    <s v="Major bar air set."/>
    <x v="470"/>
    <s v="Travel"/>
    <x v="9"/>
    <s v="252.48"/>
    <x v="0"/>
    <x v="7"/>
    <x v="1"/>
  </r>
  <r>
    <d v="2021-08-06T00:00:00"/>
    <s v="Ever mrs."/>
    <x v="471"/>
    <s v="Salary"/>
    <x v="8"/>
    <s v="134.99"/>
    <x v="0"/>
    <x v="7"/>
    <x v="1"/>
  </r>
  <r>
    <d v="2021-08-07T00:00:00"/>
    <s v="Environmental myself."/>
    <x v="472"/>
    <s v="Investment"/>
    <x v="3"/>
    <s v="1676.0"/>
    <x v="1"/>
    <x v="7"/>
    <x v="1"/>
  </r>
  <r>
    <d v="2021-08-07T00:00:00"/>
    <s v="Not significant manager member."/>
    <x v="473"/>
    <s v="Salary"/>
    <x v="8"/>
    <s v="1197.51"/>
    <x v="0"/>
    <x v="7"/>
    <x v="1"/>
  </r>
  <r>
    <d v="2021-08-08T00:00:00"/>
    <s v="State among rest national wrong."/>
    <x v="474"/>
    <s v="Food &amp; Drink"/>
    <x v="0"/>
    <s v="1233.47"/>
    <x v="0"/>
    <x v="7"/>
    <x v="1"/>
  </r>
  <r>
    <d v="2021-08-09T00:00:00"/>
    <s v="Fear yourself last."/>
    <x v="475"/>
    <s v="Shopping"/>
    <x v="4"/>
    <s v="382.75"/>
    <x v="0"/>
    <x v="7"/>
    <x v="1"/>
  </r>
  <r>
    <d v="2021-08-11T00:00:00"/>
    <s v="Keep yes."/>
    <x v="476"/>
    <s v="Health &amp; Fitness"/>
    <x v="7"/>
    <s v="144.68"/>
    <x v="0"/>
    <x v="7"/>
    <x v="1"/>
  </r>
  <r>
    <d v="2021-08-13T00:00:00"/>
    <s v="Specific onto go."/>
    <x v="477"/>
    <s v="Food &amp; Drink"/>
    <x v="0"/>
    <s v="787.0"/>
    <x v="0"/>
    <x v="7"/>
    <x v="1"/>
  </r>
  <r>
    <d v="2021-08-13T00:00:00"/>
    <s v="Pattern size spend."/>
    <x v="478"/>
    <s v="Shopping"/>
    <x v="4"/>
    <s v="1962.27"/>
    <x v="0"/>
    <x v="7"/>
    <x v="1"/>
  </r>
  <r>
    <d v="2021-08-15T00:00:00"/>
    <s v="Go exactly much food region."/>
    <x v="479"/>
    <s v="Food &amp; Drink"/>
    <x v="0"/>
    <s v="720.62"/>
    <x v="0"/>
    <x v="7"/>
    <x v="1"/>
  </r>
  <r>
    <d v="2021-08-16T00:00:00"/>
    <s v="Environment teach world quickly believe."/>
    <x v="480"/>
    <s v="Investment"/>
    <x v="3"/>
    <s v="1349.0"/>
    <x v="1"/>
    <x v="7"/>
    <x v="1"/>
  </r>
  <r>
    <d v="2021-08-18T00:00:00"/>
    <s v="Yeah term."/>
    <x v="481"/>
    <s v="Health &amp; Fitness"/>
    <x v="7"/>
    <s v="275.49"/>
    <x v="0"/>
    <x v="7"/>
    <x v="1"/>
  </r>
  <r>
    <d v="2021-08-20T00:00:00"/>
    <s v="Economic represent stock."/>
    <x v="482"/>
    <s v="Health &amp; Fitness"/>
    <x v="7"/>
    <s v="1628.88"/>
    <x v="0"/>
    <x v="7"/>
    <x v="1"/>
  </r>
  <r>
    <d v="2021-08-21T00:00:00"/>
    <s v="Central plan physical heart."/>
    <x v="483"/>
    <s v="Other"/>
    <x v="5"/>
    <s v="4420.0"/>
    <x v="1"/>
    <x v="7"/>
    <x v="1"/>
  </r>
  <r>
    <d v="2021-08-21T00:00:00"/>
    <s v="Idea seek."/>
    <x v="484"/>
    <s v="Utilities"/>
    <x v="1"/>
    <s v="135.57"/>
    <x v="0"/>
    <x v="7"/>
    <x v="1"/>
  </r>
  <r>
    <d v="2021-08-22T00:00:00"/>
    <s v="Wear force able similar."/>
    <x v="485"/>
    <s v="Salary"/>
    <x v="8"/>
    <s v="83.6"/>
    <x v="0"/>
    <x v="7"/>
    <x v="1"/>
  </r>
  <r>
    <d v="2021-08-23T00:00:00"/>
    <s v="Play recently sure somebody."/>
    <x v="486"/>
    <s v="Entertainment"/>
    <x v="6"/>
    <s v="1772.72"/>
    <x v="0"/>
    <x v="7"/>
    <x v="1"/>
  </r>
  <r>
    <d v="2021-08-24T00:00:00"/>
    <s v="Why station manager."/>
    <x v="487"/>
    <s v="Travel"/>
    <x v="9"/>
    <s v="1035.61"/>
    <x v="0"/>
    <x v="7"/>
    <x v="1"/>
  </r>
  <r>
    <d v="2021-08-25T00:00:00"/>
    <s v="Front official not."/>
    <x v="488"/>
    <s v="Salary"/>
    <x v="8"/>
    <s v="514.09"/>
    <x v="0"/>
    <x v="7"/>
    <x v="1"/>
  </r>
  <r>
    <d v="2021-08-27T00:00:00"/>
    <s v="Thus several animal phone."/>
    <x v="489"/>
    <s v="Entertainment"/>
    <x v="6"/>
    <s v="579.36"/>
    <x v="0"/>
    <x v="7"/>
    <x v="1"/>
  </r>
  <r>
    <d v="2021-08-29T00:00:00"/>
    <s v="Buy tax."/>
    <x v="490"/>
    <s v="Food &amp; Drink"/>
    <x v="0"/>
    <s v="1732.94"/>
    <x v="0"/>
    <x v="7"/>
    <x v="1"/>
  </r>
  <r>
    <d v="2021-09-05T00:00:00"/>
    <s v="A when dark read."/>
    <x v="491"/>
    <s v="Rent"/>
    <x v="2"/>
    <s v="1600.69"/>
    <x v="0"/>
    <x v="8"/>
    <x v="1"/>
  </r>
  <r>
    <d v="2021-09-06T00:00:00"/>
    <s v="City usually ever."/>
    <x v="492"/>
    <s v="Shopping"/>
    <x v="4"/>
    <s v="1489.18"/>
    <x v="0"/>
    <x v="8"/>
    <x v="1"/>
  </r>
  <r>
    <d v="2021-09-09T00:00:00"/>
    <s v="Personal rise sense investment."/>
    <x v="493"/>
    <s v="Other"/>
    <x v="5"/>
    <s v="3509.0"/>
    <x v="1"/>
    <x v="8"/>
    <x v="1"/>
  </r>
  <r>
    <d v="2021-09-09T00:00:00"/>
    <s v="Bar professor power."/>
    <x v="494"/>
    <s v="Shopping"/>
    <x v="4"/>
    <s v="684.68"/>
    <x v="0"/>
    <x v="8"/>
    <x v="1"/>
  </r>
  <r>
    <d v="2021-09-09T00:00:00"/>
    <s v="Ability live."/>
    <x v="495"/>
    <s v="Travel"/>
    <x v="9"/>
    <s v="1604.28"/>
    <x v="0"/>
    <x v="8"/>
    <x v="1"/>
  </r>
  <r>
    <d v="2021-09-10T00:00:00"/>
    <s v="Difficult quite act receive stage."/>
    <x v="496"/>
    <s v="Rent"/>
    <x v="2"/>
    <s v="866.91"/>
    <x v="0"/>
    <x v="8"/>
    <x v="1"/>
  </r>
  <r>
    <d v="2021-09-11T00:00:00"/>
    <s v="Finish thing."/>
    <x v="497"/>
    <s v="Rent"/>
    <x v="2"/>
    <s v="662.56"/>
    <x v="0"/>
    <x v="8"/>
    <x v="1"/>
  </r>
  <r>
    <d v="2021-09-11T00:00:00"/>
    <s v="Similar send card year."/>
    <x v="498"/>
    <s v="Salary"/>
    <x v="8"/>
    <s v="1209.22"/>
    <x v="0"/>
    <x v="8"/>
    <x v="1"/>
  </r>
  <r>
    <d v="2021-09-11T00:00:00"/>
    <s v="Most across."/>
    <x v="499"/>
    <s v="Salary"/>
    <x v="8"/>
    <s v="709.58"/>
    <x v="0"/>
    <x v="8"/>
    <x v="1"/>
  </r>
  <r>
    <d v="2021-09-11T00:00:00"/>
    <s v="Local director become."/>
    <x v="500"/>
    <s v="Utilities"/>
    <x v="1"/>
    <s v="1095.49"/>
    <x v="0"/>
    <x v="8"/>
    <x v="1"/>
  </r>
  <r>
    <d v="2021-09-15T00:00:00"/>
    <s v="Goal defense security turn."/>
    <x v="501"/>
    <s v="Other"/>
    <x v="5"/>
    <s v="4063.0"/>
    <x v="1"/>
    <x v="8"/>
    <x v="1"/>
  </r>
  <r>
    <d v="2021-09-16T00:00:00"/>
    <s v="Beautiful beyond sell."/>
    <x v="502"/>
    <s v="Food &amp; Drink"/>
    <x v="0"/>
    <s v="159.33"/>
    <x v="0"/>
    <x v="8"/>
    <x v="1"/>
  </r>
  <r>
    <d v="2021-09-16T00:00:00"/>
    <s v="White fire cause everybody."/>
    <x v="503"/>
    <s v="Health &amp; Fitness"/>
    <x v="7"/>
    <s v="1031.04"/>
    <x v="0"/>
    <x v="8"/>
    <x v="1"/>
  </r>
  <r>
    <d v="2021-09-17T00:00:00"/>
    <s v="Day parent country."/>
    <x v="504"/>
    <s v="Other"/>
    <x v="5"/>
    <s v="785.0"/>
    <x v="1"/>
    <x v="8"/>
    <x v="1"/>
  </r>
  <r>
    <d v="2021-09-17T00:00:00"/>
    <s v="Network outside parent."/>
    <x v="505"/>
    <s v="Utilities"/>
    <x v="1"/>
    <s v="1906.05"/>
    <x v="0"/>
    <x v="8"/>
    <x v="1"/>
  </r>
  <r>
    <d v="2021-09-19T00:00:00"/>
    <s v="History drop point audience."/>
    <x v="506"/>
    <s v="Food &amp; Drink"/>
    <x v="0"/>
    <s v="1214.14"/>
    <x v="0"/>
    <x v="8"/>
    <x v="1"/>
  </r>
  <r>
    <d v="2021-09-19T00:00:00"/>
    <s v="Value car team nothing."/>
    <x v="507"/>
    <s v="Health &amp; Fitness"/>
    <x v="7"/>
    <s v="750.31"/>
    <x v="0"/>
    <x v="8"/>
    <x v="1"/>
  </r>
  <r>
    <d v="2021-09-19T00:00:00"/>
    <s v="Position six soldier."/>
    <x v="508"/>
    <s v="Investment"/>
    <x v="3"/>
    <s v="3500.0"/>
    <x v="1"/>
    <x v="8"/>
    <x v="1"/>
  </r>
  <r>
    <d v="2021-09-19T00:00:00"/>
    <s v="Raise several west side admit."/>
    <x v="509"/>
    <s v="Utilities"/>
    <x v="1"/>
    <s v="1063.63"/>
    <x v="0"/>
    <x v="8"/>
    <x v="1"/>
  </r>
  <r>
    <d v="2021-09-20T00:00:00"/>
    <s v="Energy always."/>
    <x v="510"/>
    <s v="Travel"/>
    <x v="9"/>
    <s v="506.73"/>
    <x v="0"/>
    <x v="8"/>
    <x v="1"/>
  </r>
  <r>
    <d v="2021-09-21T00:00:00"/>
    <s v="Media pick may indeed."/>
    <x v="511"/>
    <s v="Investment"/>
    <x v="3"/>
    <s v="4588.0"/>
    <x v="1"/>
    <x v="8"/>
    <x v="1"/>
  </r>
  <r>
    <d v="2021-09-28T00:00:00"/>
    <s v="Policy mrs."/>
    <x v="512"/>
    <s v="Rent"/>
    <x v="2"/>
    <s v="530.94"/>
    <x v="0"/>
    <x v="8"/>
    <x v="1"/>
  </r>
  <r>
    <d v="2021-10-01T00:00:00"/>
    <s v="Base bad tv."/>
    <x v="513"/>
    <s v="Salary"/>
    <x v="8"/>
    <s v="437.0"/>
    <x v="0"/>
    <x v="9"/>
    <x v="1"/>
  </r>
  <r>
    <d v="2021-10-07T00:00:00"/>
    <s v="Force only shake power poor."/>
    <x v="514"/>
    <s v="Salary"/>
    <x v="8"/>
    <s v="408.35"/>
    <x v="0"/>
    <x v="9"/>
    <x v="1"/>
  </r>
  <r>
    <d v="2021-10-08T00:00:00"/>
    <s v="Role suffer around beat."/>
    <x v="515"/>
    <s v="Investment"/>
    <x v="3"/>
    <s v="4203.0"/>
    <x v="1"/>
    <x v="9"/>
    <x v="1"/>
  </r>
  <r>
    <d v="2021-10-13T00:00:00"/>
    <s v="Budget remain reduce."/>
    <x v="516"/>
    <s v="Health &amp; Fitness"/>
    <x v="7"/>
    <s v="1339.0"/>
    <x v="0"/>
    <x v="9"/>
    <x v="1"/>
  </r>
  <r>
    <d v="2021-10-13T00:00:00"/>
    <s v="Law participant."/>
    <x v="517"/>
    <s v="Other"/>
    <x v="5"/>
    <s v="1219.0"/>
    <x v="1"/>
    <x v="9"/>
    <x v="1"/>
  </r>
  <r>
    <d v="2021-10-13T00:00:00"/>
    <s v="Well mission situation result."/>
    <x v="518"/>
    <s v="Travel"/>
    <x v="9"/>
    <s v="1783.75"/>
    <x v="0"/>
    <x v="9"/>
    <x v="1"/>
  </r>
  <r>
    <d v="2021-10-16T00:00:00"/>
    <s v="Camera sit environmental though."/>
    <x v="519"/>
    <s v="Utilities"/>
    <x v="1"/>
    <s v="1589.46"/>
    <x v="0"/>
    <x v="9"/>
    <x v="1"/>
  </r>
  <r>
    <d v="2021-10-20T00:00:00"/>
    <s v="Southern evening ask republican."/>
    <x v="520"/>
    <s v="Rent"/>
    <x v="2"/>
    <s v="1970.41"/>
    <x v="0"/>
    <x v="9"/>
    <x v="1"/>
  </r>
  <r>
    <d v="2021-10-21T00:00:00"/>
    <s v="Baby lawyer growth matter note."/>
    <x v="521"/>
    <s v="Entertainment"/>
    <x v="6"/>
    <s v="1582.84"/>
    <x v="0"/>
    <x v="9"/>
    <x v="1"/>
  </r>
  <r>
    <d v="2021-10-22T00:00:00"/>
    <s v="Effort bill off."/>
    <x v="522"/>
    <s v="Other"/>
    <x v="5"/>
    <s v="4328.0"/>
    <x v="1"/>
    <x v="9"/>
    <x v="1"/>
  </r>
  <r>
    <d v="2021-10-24T00:00:00"/>
    <s v="Animal hair turn."/>
    <x v="523"/>
    <s v="Other"/>
    <x v="5"/>
    <s v="3761.0"/>
    <x v="1"/>
    <x v="9"/>
    <x v="1"/>
  </r>
  <r>
    <d v="2021-10-24T00:00:00"/>
    <s v="Scientist able teach."/>
    <x v="524"/>
    <s v="Utilities"/>
    <x v="1"/>
    <s v="1227.78"/>
    <x v="0"/>
    <x v="9"/>
    <x v="1"/>
  </r>
  <r>
    <d v="2021-10-27T00:00:00"/>
    <s v="Focus indicate result."/>
    <x v="525"/>
    <s v="Rent"/>
    <x v="2"/>
    <s v="259.4"/>
    <x v="0"/>
    <x v="9"/>
    <x v="1"/>
  </r>
  <r>
    <d v="2021-10-27T00:00:00"/>
    <s v="Need trial."/>
    <x v="526"/>
    <s v="Salary"/>
    <x v="8"/>
    <s v="1056.13"/>
    <x v="0"/>
    <x v="9"/>
    <x v="1"/>
  </r>
  <r>
    <d v="2021-10-30T00:00:00"/>
    <s v="Number budget."/>
    <x v="527"/>
    <s v="Rent"/>
    <x v="2"/>
    <s v="905.45"/>
    <x v="0"/>
    <x v="9"/>
    <x v="1"/>
  </r>
  <r>
    <d v="2021-11-03T00:00:00"/>
    <s v="Development middle animal."/>
    <x v="528"/>
    <s v="Health &amp; Fitness"/>
    <x v="7"/>
    <s v="265.39"/>
    <x v="0"/>
    <x v="10"/>
    <x v="1"/>
  </r>
  <r>
    <d v="2021-11-04T00:00:00"/>
    <s v="Theory tend."/>
    <x v="529"/>
    <s v="Utilities"/>
    <x v="1"/>
    <s v="1537.89"/>
    <x v="0"/>
    <x v="10"/>
    <x v="1"/>
  </r>
  <r>
    <d v="2021-11-05T00:00:00"/>
    <s v="Beat lead hard factor."/>
    <x v="530"/>
    <s v="Investment"/>
    <x v="3"/>
    <s v="1517.0"/>
    <x v="1"/>
    <x v="10"/>
    <x v="1"/>
  </r>
  <r>
    <d v="2021-11-05T00:00:00"/>
    <s v="Drug happy will young simply."/>
    <x v="531"/>
    <s v="Travel"/>
    <x v="9"/>
    <s v="337.67"/>
    <x v="0"/>
    <x v="10"/>
    <x v="1"/>
  </r>
  <r>
    <d v="2021-11-06T00:00:00"/>
    <s v="Character usually agency."/>
    <x v="532"/>
    <s v="Entertainment"/>
    <x v="6"/>
    <s v="698.59"/>
    <x v="0"/>
    <x v="10"/>
    <x v="1"/>
  </r>
  <r>
    <d v="2021-11-07T00:00:00"/>
    <s v="Player really act friend."/>
    <x v="533"/>
    <s v="Travel"/>
    <x v="9"/>
    <s v="1693.41"/>
    <x v="0"/>
    <x v="10"/>
    <x v="1"/>
  </r>
  <r>
    <d v="2021-11-10T00:00:00"/>
    <s v="Billion morning draw."/>
    <x v="534"/>
    <s v="Travel"/>
    <x v="9"/>
    <s v="259.09"/>
    <x v="0"/>
    <x v="10"/>
    <x v="1"/>
  </r>
  <r>
    <d v="2021-11-15T00:00:00"/>
    <s v="Win central."/>
    <x v="535"/>
    <s v="Rent"/>
    <x v="2"/>
    <s v="1010.12"/>
    <x v="0"/>
    <x v="10"/>
    <x v="1"/>
  </r>
  <r>
    <d v="2021-11-16T00:00:00"/>
    <s v="Analysis discuss."/>
    <x v="536"/>
    <s v="Investment"/>
    <x v="3"/>
    <s v="1902.0"/>
    <x v="1"/>
    <x v="10"/>
    <x v="1"/>
  </r>
  <r>
    <d v="2021-11-17T00:00:00"/>
    <s v="Red head window be."/>
    <x v="537"/>
    <s v="Health &amp; Fitness"/>
    <x v="7"/>
    <s v="1686.63"/>
    <x v="0"/>
    <x v="10"/>
    <x v="1"/>
  </r>
  <r>
    <d v="2021-11-18T00:00:00"/>
    <s v="Card star avoid nothing."/>
    <x v="538"/>
    <s v="Food &amp; Drink"/>
    <x v="0"/>
    <s v="171.63"/>
    <x v="0"/>
    <x v="10"/>
    <x v="1"/>
  </r>
  <r>
    <d v="2021-11-18T00:00:00"/>
    <s v="Door end fire."/>
    <x v="539"/>
    <s v="Travel"/>
    <x v="9"/>
    <s v="1305.75"/>
    <x v="0"/>
    <x v="10"/>
    <x v="1"/>
  </r>
  <r>
    <d v="2021-11-19T00:00:00"/>
    <s v="Fish evening avoid dark."/>
    <x v="540"/>
    <s v="Shopping"/>
    <x v="4"/>
    <s v="1240.04"/>
    <x v="0"/>
    <x v="10"/>
    <x v="1"/>
  </r>
  <r>
    <d v="2021-11-21T00:00:00"/>
    <s v="Enter build citizen rather."/>
    <x v="541"/>
    <s v="Investment"/>
    <x v="3"/>
    <s v="1794.0"/>
    <x v="1"/>
    <x v="10"/>
    <x v="1"/>
  </r>
  <r>
    <d v="2021-11-21T00:00:00"/>
    <s v="Choice clearly."/>
    <x v="542"/>
    <s v="Other"/>
    <x v="5"/>
    <s v="2974.0"/>
    <x v="1"/>
    <x v="10"/>
    <x v="1"/>
  </r>
  <r>
    <d v="2021-11-21T00:00:00"/>
    <s v="Image movie who debate."/>
    <x v="543"/>
    <s v="Shopping"/>
    <x v="4"/>
    <s v="601.89"/>
    <x v="0"/>
    <x v="10"/>
    <x v="1"/>
  </r>
  <r>
    <d v="2021-11-23T00:00:00"/>
    <s v="Structure foreign before."/>
    <x v="544"/>
    <s v="Salary"/>
    <x v="8"/>
    <s v="934.24"/>
    <x v="0"/>
    <x v="10"/>
    <x v="1"/>
  </r>
  <r>
    <d v="2021-11-26T00:00:00"/>
    <s v="How any federal star."/>
    <x v="545"/>
    <s v="Utilities"/>
    <x v="1"/>
    <s v="632.04"/>
    <x v="0"/>
    <x v="10"/>
    <x v="1"/>
  </r>
  <r>
    <d v="2021-11-27T00:00:00"/>
    <s v="Weight take."/>
    <x v="546"/>
    <s v="Health &amp; Fitness"/>
    <x v="7"/>
    <s v="1950.99"/>
    <x v="0"/>
    <x v="10"/>
    <x v="1"/>
  </r>
  <r>
    <d v="2021-11-28T00:00:00"/>
    <s v="Economic left sound cause activity."/>
    <x v="547"/>
    <s v="Other"/>
    <x v="5"/>
    <s v="4718.0"/>
    <x v="1"/>
    <x v="10"/>
    <x v="1"/>
  </r>
  <r>
    <d v="2021-12-01T00:00:00"/>
    <s v="Cup hundred rather."/>
    <x v="548"/>
    <s v="Health &amp; Fitness"/>
    <x v="7"/>
    <s v="491.06"/>
    <x v="0"/>
    <x v="11"/>
    <x v="1"/>
  </r>
  <r>
    <d v="2021-12-02T00:00:00"/>
    <s v="Only true avoid young cup."/>
    <x v="549"/>
    <s v="Other"/>
    <x v="5"/>
    <s v="2530.0"/>
    <x v="1"/>
    <x v="11"/>
    <x v="1"/>
  </r>
  <r>
    <d v="2021-12-03T00:00:00"/>
    <s v="Begin suggest speak."/>
    <x v="550"/>
    <s v="Investment"/>
    <x v="3"/>
    <s v="2877.0"/>
    <x v="1"/>
    <x v="11"/>
    <x v="1"/>
  </r>
  <r>
    <d v="2021-12-03T00:00:00"/>
    <s v="Walk anything."/>
    <x v="551"/>
    <s v="Shopping"/>
    <x v="4"/>
    <s v="504.06"/>
    <x v="0"/>
    <x v="11"/>
    <x v="1"/>
  </r>
  <r>
    <d v="2021-12-08T00:00:00"/>
    <s v="Start house ahead raise."/>
    <x v="552"/>
    <s v="Utilities"/>
    <x v="1"/>
    <s v="1628.82"/>
    <x v="0"/>
    <x v="11"/>
    <x v="1"/>
  </r>
  <r>
    <d v="2021-12-09T00:00:00"/>
    <s v="Democrat cost evidence third."/>
    <x v="553"/>
    <s v="Health &amp; Fitness"/>
    <x v="7"/>
    <s v="387.77"/>
    <x v="0"/>
    <x v="11"/>
    <x v="1"/>
  </r>
  <r>
    <d v="2021-12-09T00:00:00"/>
    <s v="People early far include nearly."/>
    <x v="554"/>
    <s v="Other"/>
    <x v="5"/>
    <s v="4585.0"/>
    <x v="1"/>
    <x v="11"/>
    <x v="1"/>
  </r>
  <r>
    <d v="2021-12-11T00:00:00"/>
    <s v="Evidence case."/>
    <x v="555"/>
    <s v="Salary"/>
    <x v="8"/>
    <s v="56.12"/>
    <x v="0"/>
    <x v="11"/>
    <x v="1"/>
  </r>
  <r>
    <d v="2021-12-12T00:00:00"/>
    <s v="Eat yes myself affect him."/>
    <x v="556"/>
    <s v="Salary"/>
    <x v="8"/>
    <s v="1933.71"/>
    <x v="0"/>
    <x v="11"/>
    <x v="1"/>
  </r>
  <r>
    <d v="2021-12-13T00:00:00"/>
    <s v="Name machine tree maybe."/>
    <x v="557"/>
    <s v="Health &amp; Fitness"/>
    <x v="7"/>
    <s v="106.83"/>
    <x v="0"/>
    <x v="11"/>
    <x v="1"/>
  </r>
  <r>
    <d v="2021-12-13T00:00:00"/>
    <s v="Conference five despite."/>
    <x v="558"/>
    <s v="Salary"/>
    <x v="8"/>
    <s v="578.64"/>
    <x v="0"/>
    <x v="11"/>
    <x v="1"/>
  </r>
  <r>
    <d v="2021-12-15T00:00:00"/>
    <s v="Speak line."/>
    <x v="559"/>
    <s v="Investment"/>
    <x v="3"/>
    <s v="4030.0"/>
    <x v="1"/>
    <x v="11"/>
    <x v="1"/>
  </r>
  <r>
    <d v="2021-12-15T00:00:00"/>
    <s v="Yourself wind beyond prevent entire."/>
    <x v="560"/>
    <s v="Other"/>
    <x v="5"/>
    <s v="3496.0"/>
    <x v="1"/>
    <x v="11"/>
    <x v="1"/>
  </r>
  <r>
    <d v="2021-12-16T00:00:00"/>
    <s v="Offer work home."/>
    <x v="561"/>
    <s v="Health &amp; Fitness"/>
    <x v="7"/>
    <s v="100.03"/>
    <x v="0"/>
    <x v="11"/>
    <x v="1"/>
  </r>
  <r>
    <d v="2021-12-19T00:00:00"/>
    <s v="Door fish scene."/>
    <x v="562"/>
    <s v="Investment"/>
    <x v="3"/>
    <s v="3469.0"/>
    <x v="1"/>
    <x v="11"/>
    <x v="1"/>
  </r>
  <r>
    <d v="2021-12-20T00:00:00"/>
    <s v="Agreement red way nor none."/>
    <x v="563"/>
    <s v="Rent"/>
    <x v="2"/>
    <s v="778.83"/>
    <x v="0"/>
    <x v="11"/>
    <x v="1"/>
  </r>
  <r>
    <d v="2021-12-20T00:00:00"/>
    <s v="My compare also argue."/>
    <x v="564"/>
    <s v="Travel"/>
    <x v="9"/>
    <s v="1652.37"/>
    <x v="0"/>
    <x v="11"/>
    <x v="1"/>
  </r>
  <r>
    <d v="2021-12-23T00:00:00"/>
    <s v="Money a."/>
    <x v="565"/>
    <s v="Rent"/>
    <x v="2"/>
    <s v="266.04"/>
    <x v="0"/>
    <x v="11"/>
    <x v="1"/>
  </r>
  <r>
    <d v="2021-12-24T00:00:00"/>
    <s v="Future concern sort."/>
    <x v="566"/>
    <s v="Other"/>
    <x v="5"/>
    <s v="3277.0"/>
    <x v="1"/>
    <x v="11"/>
    <x v="1"/>
  </r>
  <r>
    <d v="2021-12-26T00:00:00"/>
    <s v="Against only."/>
    <x v="567"/>
    <s v="Health &amp; Fitness"/>
    <x v="7"/>
    <s v="1512.38"/>
    <x v="0"/>
    <x v="11"/>
    <x v="1"/>
  </r>
  <r>
    <d v="2021-12-28T00:00:00"/>
    <s v="Suffer team."/>
    <x v="568"/>
    <s v="Other"/>
    <x v="5"/>
    <s v="4596.0"/>
    <x v="1"/>
    <x v="11"/>
    <x v="1"/>
  </r>
  <r>
    <d v="2021-12-31T00:00:00"/>
    <s v="Relate product only from."/>
    <x v="569"/>
    <s v="Investment"/>
    <x v="3"/>
    <s v="1622.0"/>
    <x v="1"/>
    <x v="11"/>
    <x v="1"/>
  </r>
  <r>
    <d v="2022-01-01T00:00:00"/>
    <s v="Wish run join."/>
    <x v="570"/>
    <s v="Salary"/>
    <x v="8"/>
    <s v="1043.47"/>
    <x v="0"/>
    <x v="0"/>
    <x v="2"/>
  </r>
  <r>
    <d v="2022-01-03T00:00:00"/>
    <s v="Program sport her."/>
    <x v="571"/>
    <s v="Health &amp; Fitness"/>
    <x v="7"/>
    <s v="333.38"/>
    <x v="0"/>
    <x v="0"/>
    <x v="2"/>
  </r>
  <r>
    <d v="2022-01-03T00:00:00"/>
    <s v="Company why really up."/>
    <x v="572"/>
    <s v="Investment"/>
    <x v="3"/>
    <s v="3186.0"/>
    <x v="1"/>
    <x v="0"/>
    <x v="2"/>
  </r>
  <r>
    <d v="2022-01-03T00:00:00"/>
    <s v="Concern ability reduce."/>
    <x v="573"/>
    <s v="Travel"/>
    <x v="9"/>
    <s v="1191.51"/>
    <x v="0"/>
    <x v="0"/>
    <x v="2"/>
  </r>
  <r>
    <d v="2022-01-04T00:00:00"/>
    <s v="Surface side nothing consider."/>
    <x v="574"/>
    <s v="Salary"/>
    <x v="8"/>
    <s v="1420.39"/>
    <x v="0"/>
    <x v="0"/>
    <x v="2"/>
  </r>
  <r>
    <d v="2022-01-05T00:00:00"/>
    <s v="Determine not view cell seat."/>
    <x v="575"/>
    <s v="Food &amp; Drink"/>
    <x v="0"/>
    <s v="743.03"/>
    <x v="0"/>
    <x v="0"/>
    <x v="2"/>
  </r>
  <r>
    <d v="2022-01-06T00:00:00"/>
    <s v="Word collection those become."/>
    <x v="576"/>
    <s v="Shopping"/>
    <x v="4"/>
    <s v="1171.57"/>
    <x v="0"/>
    <x v="0"/>
    <x v="2"/>
  </r>
  <r>
    <d v="2022-01-08T00:00:00"/>
    <s v="Activity decide really go."/>
    <x v="577"/>
    <s v="Food &amp; Drink"/>
    <x v="0"/>
    <s v="1197.85"/>
    <x v="0"/>
    <x v="0"/>
    <x v="2"/>
  </r>
  <r>
    <d v="2022-01-09T00:00:00"/>
    <s v="Answer just."/>
    <x v="578"/>
    <s v="Entertainment"/>
    <x v="6"/>
    <s v="1445.59"/>
    <x v="0"/>
    <x v="0"/>
    <x v="2"/>
  </r>
  <r>
    <d v="2022-01-13T00:00:00"/>
    <s v="Big look tell prepare."/>
    <x v="579"/>
    <s v="Shopping"/>
    <x v="4"/>
    <s v="304.07"/>
    <x v="0"/>
    <x v="0"/>
    <x v="2"/>
  </r>
  <r>
    <d v="2022-01-13T00:00:00"/>
    <s v="This manage her."/>
    <x v="580"/>
    <s v="Utilities"/>
    <x v="1"/>
    <s v="1053.22"/>
    <x v="0"/>
    <x v="0"/>
    <x v="2"/>
  </r>
  <r>
    <d v="2022-01-14T00:00:00"/>
    <s v="Later son almost."/>
    <x v="581"/>
    <s v="Food &amp; Drink"/>
    <x v="0"/>
    <s v="1149.41"/>
    <x v="0"/>
    <x v="0"/>
    <x v="2"/>
  </r>
  <r>
    <d v="2022-01-16T00:00:00"/>
    <s v="End bit game thousand."/>
    <x v="582"/>
    <s v="Entertainment"/>
    <x v="6"/>
    <s v="47.69"/>
    <x v="0"/>
    <x v="0"/>
    <x v="2"/>
  </r>
  <r>
    <d v="2022-01-16T00:00:00"/>
    <s v="Natural together."/>
    <x v="583"/>
    <s v="Utilities"/>
    <x v="1"/>
    <s v="831.79"/>
    <x v="0"/>
    <x v="0"/>
    <x v="2"/>
  </r>
  <r>
    <d v="2022-01-18T00:00:00"/>
    <s v="Threat church big day couple."/>
    <x v="584"/>
    <s v="Food &amp; Drink"/>
    <x v="0"/>
    <s v="1414.49"/>
    <x v="0"/>
    <x v="0"/>
    <x v="2"/>
  </r>
  <r>
    <d v="2022-01-18T00:00:00"/>
    <s v="Order party lot all."/>
    <x v="585"/>
    <s v="Salary"/>
    <x v="8"/>
    <s v="1746.91"/>
    <x v="0"/>
    <x v="0"/>
    <x v="2"/>
  </r>
  <r>
    <d v="2022-01-21T00:00:00"/>
    <s v="Enter example down anyone occur."/>
    <x v="586"/>
    <s v="Health &amp; Fitness"/>
    <x v="7"/>
    <s v="1996.26"/>
    <x v="0"/>
    <x v="0"/>
    <x v="2"/>
  </r>
  <r>
    <d v="2022-01-21T00:00:00"/>
    <s v="Approach about because."/>
    <x v="587"/>
    <s v="Shopping"/>
    <x v="4"/>
    <s v="634.37"/>
    <x v="0"/>
    <x v="0"/>
    <x v="2"/>
  </r>
  <r>
    <d v="2022-01-22T00:00:00"/>
    <s v="Best deal point."/>
    <x v="588"/>
    <s v="Other"/>
    <x v="5"/>
    <s v="4975.0"/>
    <x v="1"/>
    <x v="0"/>
    <x v="2"/>
  </r>
  <r>
    <d v="2022-01-23T00:00:00"/>
    <s v="Such final however major."/>
    <x v="589"/>
    <s v="Travel"/>
    <x v="9"/>
    <s v="1224.05"/>
    <x v="0"/>
    <x v="0"/>
    <x v="2"/>
  </r>
  <r>
    <d v="2022-01-24T00:00:00"/>
    <s v="Politics hold."/>
    <x v="590"/>
    <s v="Investment"/>
    <x v="3"/>
    <s v="2785.0"/>
    <x v="1"/>
    <x v="0"/>
    <x v="2"/>
  </r>
  <r>
    <d v="2022-01-28T00:00:00"/>
    <s v="Hard knowledge enjoy let."/>
    <x v="591"/>
    <s v="Entertainment"/>
    <x v="6"/>
    <s v="1883.56"/>
    <x v="0"/>
    <x v="0"/>
    <x v="2"/>
  </r>
  <r>
    <d v="2022-02-01T00:00:00"/>
    <s v="Nor character recent."/>
    <x v="592"/>
    <s v="Travel"/>
    <x v="9"/>
    <s v="1412.75"/>
    <x v="0"/>
    <x v="1"/>
    <x v="2"/>
  </r>
  <r>
    <d v="2022-02-02T00:00:00"/>
    <s v="Property space."/>
    <x v="593"/>
    <s v="Salary"/>
    <x v="8"/>
    <s v="640.91"/>
    <x v="0"/>
    <x v="1"/>
    <x v="2"/>
  </r>
  <r>
    <d v="2022-02-05T00:00:00"/>
    <s v="Think live bad total research."/>
    <x v="594"/>
    <s v="Shopping"/>
    <x v="4"/>
    <s v="1792.56"/>
    <x v="0"/>
    <x v="1"/>
    <x v="2"/>
  </r>
  <r>
    <d v="2022-02-05T00:00:00"/>
    <s v="Dinner article hit mission whole."/>
    <x v="595"/>
    <s v="Travel"/>
    <x v="9"/>
    <s v="582.7"/>
    <x v="0"/>
    <x v="1"/>
    <x v="2"/>
  </r>
  <r>
    <d v="2022-02-06T00:00:00"/>
    <s v="Too song quality per build."/>
    <x v="596"/>
    <s v="Health &amp; Fitness"/>
    <x v="7"/>
    <s v="1909.67"/>
    <x v="0"/>
    <x v="1"/>
    <x v="2"/>
  </r>
  <r>
    <d v="2022-02-08T00:00:00"/>
    <s v="Amount bad raise."/>
    <x v="597"/>
    <s v="Rent"/>
    <x v="2"/>
    <s v="699.26"/>
    <x v="0"/>
    <x v="1"/>
    <x v="2"/>
  </r>
  <r>
    <d v="2022-02-08T00:00:00"/>
    <s v="We cold deep."/>
    <x v="598"/>
    <s v="Travel"/>
    <x v="9"/>
    <s v="93.71"/>
    <x v="0"/>
    <x v="1"/>
    <x v="2"/>
  </r>
  <r>
    <d v="2022-02-09T00:00:00"/>
    <s v="Challenge organization floor road southern."/>
    <x v="599"/>
    <s v="Travel"/>
    <x v="9"/>
    <s v="1497.2"/>
    <x v="0"/>
    <x v="1"/>
    <x v="2"/>
  </r>
  <r>
    <d v="2022-02-10T00:00:00"/>
    <s v="Understand none."/>
    <x v="600"/>
    <s v="Entertainment"/>
    <x v="6"/>
    <s v="492.49"/>
    <x v="0"/>
    <x v="1"/>
    <x v="2"/>
  </r>
  <r>
    <d v="2022-02-10T00:00:00"/>
    <s v="Test they there."/>
    <x v="601"/>
    <s v="Entertainment"/>
    <x v="6"/>
    <s v="1279.51"/>
    <x v="0"/>
    <x v="1"/>
    <x v="2"/>
  </r>
  <r>
    <d v="2022-02-10T00:00:00"/>
    <s v="News need task mind."/>
    <x v="602"/>
    <s v="Travel"/>
    <x v="9"/>
    <s v="1866.72"/>
    <x v="0"/>
    <x v="1"/>
    <x v="2"/>
  </r>
  <r>
    <d v="2022-02-10T00:00:00"/>
    <s v="Onto site both change note."/>
    <x v="603"/>
    <s v="Utilities"/>
    <x v="1"/>
    <s v="227.36"/>
    <x v="0"/>
    <x v="1"/>
    <x v="2"/>
  </r>
  <r>
    <d v="2022-02-11T00:00:00"/>
    <s v="Pressure occur list common."/>
    <x v="604"/>
    <s v="Other"/>
    <x v="5"/>
    <s v="3205.0"/>
    <x v="1"/>
    <x v="1"/>
    <x v="2"/>
  </r>
  <r>
    <d v="2022-02-14T00:00:00"/>
    <s v="Peace race i."/>
    <x v="605"/>
    <s v="Rent"/>
    <x v="2"/>
    <s v="1365.57"/>
    <x v="0"/>
    <x v="1"/>
    <x v="2"/>
  </r>
  <r>
    <d v="2022-02-17T00:00:00"/>
    <s v="Feel season similar."/>
    <x v="606"/>
    <s v="Food &amp; Drink"/>
    <x v="0"/>
    <s v="1816.79"/>
    <x v="0"/>
    <x v="1"/>
    <x v="2"/>
  </r>
  <r>
    <d v="2022-02-17T00:00:00"/>
    <s v="Real any little environmental."/>
    <x v="607"/>
    <s v="Investment"/>
    <x v="3"/>
    <s v="3833.0"/>
    <x v="1"/>
    <x v="1"/>
    <x v="2"/>
  </r>
  <r>
    <d v="2022-02-17T00:00:00"/>
    <s v="Successful teach range."/>
    <x v="608"/>
    <s v="Other"/>
    <x v="5"/>
    <s v="3131.0"/>
    <x v="1"/>
    <x v="1"/>
    <x v="2"/>
  </r>
  <r>
    <d v="2022-02-17T00:00:00"/>
    <s v="Full soldier."/>
    <x v="609"/>
    <s v="Salary"/>
    <x v="8"/>
    <s v="960.12"/>
    <x v="0"/>
    <x v="1"/>
    <x v="2"/>
  </r>
  <r>
    <d v="2022-02-18T00:00:00"/>
    <s v="Rock painting become."/>
    <x v="610"/>
    <s v="Investment"/>
    <x v="3"/>
    <s v="4883.0"/>
    <x v="1"/>
    <x v="1"/>
    <x v="2"/>
  </r>
  <r>
    <d v="2022-02-21T00:00:00"/>
    <s v="Tree imagine machine."/>
    <x v="611"/>
    <s v="Food &amp; Drink"/>
    <x v="0"/>
    <s v="1827.33"/>
    <x v="0"/>
    <x v="1"/>
    <x v="2"/>
  </r>
  <r>
    <d v="2022-02-22T00:00:00"/>
    <s v="Start middle city find."/>
    <x v="612"/>
    <s v="Investment"/>
    <x v="3"/>
    <s v="797.0"/>
    <x v="1"/>
    <x v="1"/>
    <x v="2"/>
  </r>
  <r>
    <d v="2022-02-22T00:00:00"/>
    <s v="Career surface these ahead."/>
    <x v="613"/>
    <s v="Shopping"/>
    <x v="4"/>
    <s v="1578.04"/>
    <x v="0"/>
    <x v="1"/>
    <x v="2"/>
  </r>
  <r>
    <d v="2022-02-25T00:00:00"/>
    <s v="Student economic lead."/>
    <x v="614"/>
    <s v="Other"/>
    <x v="5"/>
    <s v="806.0"/>
    <x v="1"/>
    <x v="1"/>
    <x v="2"/>
  </r>
  <r>
    <d v="2022-02-27T00:00:00"/>
    <s v="Ever statement measure."/>
    <x v="615"/>
    <s v="Investment"/>
    <x v="3"/>
    <s v="3244.0"/>
    <x v="1"/>
    <x v="1"/>
    <x v="2"/>
  </r>
  <r>
    <d v="2022-03-01T00:00:00"/>
    <s v="Drop major."/>
    <x v="616"/>
    <s v="Salary"/>
    <x v="8"/>
    <s v="1779.63"/>
    <x v="0"/>
    <x v="2"/>
    <x v="2"/>
  </r>
  <r>
    <d v="2022-03-02T00:00:00"/>
    <s v="Whether listen necessary."/>
    <x v="617"/>
    <s v="Other"/>
    <x v="5"/>
    <s v="2735.0"/>
    <x v="1"/>
    <x v="2"/>
    <x v="2"/>
  </r>
  <r>
    <d v="2022-03-04T00:00:00"/>
    <s v="Study else store."/>
    <x v="618"/>
    <s v="Investment"/>
    <x v="3"/>
    <s v="3208.0"/>
    <x v="1"/>
    <x v="2"/>
    <x v="2"/>
  </r>
  <r>
    <d v="2022-03-05T00:00:00"/>
    <s v="Agree anyone take."/>
    <x v="619"/>
    <s v="Other"/>
    <x v="5"/>
    <s v="2607.0"/>
    <x v="1"/>
    <x v="2"/>
    <x v="2"/>
  </r>
  <r>
    <d v="2022-03-07T00:00:00"/>
    <s v="After sister should across treatment."/>
    <x v="620"/>
    <s v="Entertainment"/>
    <x v="6"/>
    <s v="359.23"/>
    <x v="0"/>
    <x v="2"/>
    <x v="2"/>
  </r>
  <r>
    <d v="2022-03-07T00:00:00"/>
    <s v="Positive question especially."/>
    <x v="621"/>
    <s v="Food &amp; Drink"/>
    <x v="0"/>
    <s v="1475.87"/>
    <x v="0"/>
    <x v="2"/>
    <x v="2"/>
  </r>
  <r>
    <d v="2022-03-12T00:00:00"/>
    <s v="Song difference part wall require."/>
    <x v="622"/>
    <s v="Shopping"/>
    <x v="4"/>
    <s v="1655.71"/>
    <x v="0"/>
    <x v="2"/>
    <x v="2"/>
  </r>
  <r>
    <d v="2022-03-14T00:00:00"/>
    <s v="Time surface learn design."/>
    <x v="623"/>
    <s v="Rent"/>
    <x v="2"/>
    <s v="807.66"/>
    <x v="0"/>
    <x v="2"/>
    <x v="2"/>
  </r>
  <r>
    <d v="2022-03-17T00:00:00"/>
    <s v="Positive participant fear blue as."/>
    <x v="624"/>
    <s v="Entertainment"/>
    <x v="6"/>
    <s v="23.59"/>
    <x v="0"/>
    <x v="2"/>
    <x v="2"/>
  </r>
  <r>
    <d v="2022-03-17T00:00:00"/>
    <s v="Station however bill memory production."/>
    <x v="625"/>
    <s v="Investment"/>
    <x v="3"/>
    <s v="4411.0"/>
    <x v="1"/>
    <x v="2"/>
    <x v="2"/>
  </r>
  <r>
    <d v="2022-03-18T00:00:00"/>
    <s v="Technology end represent throughout."/>
    <x v="626"/>
    <s v="Salary"/>
    <x v="8"/>
    <s v="1509.98"/>
    <x v="0"/>
    <x v="2"/>
    <x v="2"/>
  </r>
  <r>
    <d v="2022-03-18T00:00:00"/>
    <s v="Change she tonight."/>
    <x v="627"/>
    <s v="Travel"/>
    <x v="9"/>
    <s v="1169.1"/>
    <x v="0"/>
    <x v="2"/>
    <x v="2"/>
  </r>
  <r>
    <d v="2022-03-18T00:00:00"/>
    <s v="Race return pretty young."/>
    <x v="628"/>
    <s v="Travel"/>
    <x v="9"/>
    <s v="1310.83"/>
    <x v="0"/>
    <x v="2"/>
    <x v="2"/>
  </r>
  <r>
    <d v="2022-03-20T00:00:00"/>
    <s v="Identify say on yes."/>
    <x v="629"/>
    <s v="Food &amp; Drink"/>
    <x v="0"/>
    <s v="1338.89"/>
    <x v="0"/>
    <x v="2"/>
    <x v="2"/>
  </r>
  <r>
    <d v="2022-03-20T00:00:00"/>
    <s v="Risk develop movement size."/>
    <x v="630"/>
    <s v="Utilities"/>
    <x v="1"/>
    <s v="816.78"/>
    <x v="0"/>
    <x v="2"/>
    <x v="2"/>
  </r>
  <r>
    <d v="2022-03-22T00:00:00"/>
    <s v="Feel color price next."/>
    <x v="631"/>
    <s v="Travel"/>
    <x v="9"/>
    <s v="1383.68"/>
    <x v="0"/>
    <x v="2"/>
    <x v="2"/>
  </r>
  <r>
    <d v="2022-03-23T00:00:00"/>
    <s v="Likely scientist."/>
    <x v="632"/>
    <s v="Travel"/>
    <x v="9"/>
    <s v="741.41"/>
    <x v="0"/>
    <x v="2"/>
    <x v="2"/>
  </r>
  <r>
    <d v="2022-03-23T00:00:00"/>
    <s v="Water tonight pressure."/>
    <x v="633"/>
    <s v="Utilities"/>
    <x v="1"/>
    <s v="961.58"/>
    <x v="0"/>
    <x v="2"/>
    <x v="2"/>
  </r>
  <r>
    <d v="2022-03-24T00:00:00"/>
    <s v="Development the inside thought."/>
    <x v="634"/>
    <s v="Health &amp; Fitness"/>
    <x v="7"/>
    <s v="837.53"/>
    <x v="0"/>
    <x v="2"/>
    <x v="2"/>
  </r>
  <r>
    <d v="2022-03-25T00:00:00"/>
    <s v="One less brother."/>
    <x v="635"/>
    <s v="Salary"/>
    <x v="8"/>
    <s v="1517.13"/>
    <x v="0"/>
    <x v="2"/>
    <x v="2"/>
  </r>
  <r>
    <d v="2022-03-26T00:00:00"/>
    <s v="Oil per line create build."/>
    <x v="636"/>
    <s v="Entertainment"/>
    <x v="6"/>
    <s v="1526.1"/>
    <x v="0"/>
    <x v="2"/>
    <x v="2"/>
  </r>
  <r>
    <d v="2022-03-27T00:00:00"/>
    <s v="Fear approach take case customer."/>
    <x v="637"/>
    <s v="Rent"/>
    <x v="2"/>
    <s v="1055.76"/>
    <x v="0"/>
    <x v="2"/>
    <x v="2"/>
  </r>
  <r>
    <d v="2022-03-28T00:00:00"/>
    <s v="Decide similar office."/>
    <x v="638"/>
    <s v="Entertainment"/>
    <x v="6"/>
    <s v="1149.68"/>
    <x v="0"/>
    <x v="2"/>
    <x v="2"/>
  </r>
  <r>
    <d v="2022-03-28T00:00:00"/>
    <s v="Forward would finish around."/>
    <x v="639"/>
    <s v="Food &amp; Drink"/>
    <x v="0"/>
    <s v="1659.26"/>
    <x v="0"/>
    <x v="2"/>
    <x v="2"/>
  </r>
  <r>
    <d v="2022-03-28T00:00:00"/>
    <s v="Throughout would century television congress."/>
    <x v="640"/>
    <s v="Health &amp; Fitness"/>
    <x v="7"/>
    <s v="165.42"/>
    <x v="0"/>
    <x v="2"/>
    <x v="2"/>
  </r>
  <r>
    <d v="2022-03-28T00:00:00"/>
    <s v="Size sister can its."/>
    <x v="641"/>
    <s v="Other"/>
    <x v="5"/>
    <s v="4762.0"/>
    <x v="1"/>
    <x v="2"/>
    <x v="2"/>
  </r>
  <r>
    <d v="2022-03-29T00:00:00"/>
    <s v="Investment local above move."/>
    <x v="642"/>
    <s v="Entertainment"/>
    <x v="6"/>
    <s v="1436.67"/>
    <x v="0"/>
    <x v="2"/>
    <x v="2"/>
  </r>
  <r>
    <d v="2022-03-29T00:00:00"/>
    <s v="Throughout series."/>
    <x v="643"/>
    <s v="Salary"/>
    <x v="8"/>
    <s v="1619.3"/>
    <x v="0"/>
    <x v="2"/>
    <x v="2"/>
  </r>
  <r>
    <d v="2022-03-31T00:00:00"/>
    <s v="Fine bill me fill."/>
    <x v="644"/>
    <s v="Other"/>
    <x v="5"/>
    <s v="3024.0"/>
    <x v="1"/>
    <x v="2"/>
    <x v="2"/>
  </r>
  <r>
    <d v="2022-03-31T00:00:00"/>
    <s v="Adult above safe."/>
    <x v="645"/>
    <s v="Shopping"/>
    <x v="4"/>
    <s v="919.03"/>
    <x v="0"/>
    <x v="2"/>
    <x v="2"/>
  </r>
  <r>
    <d v="2022-03-31T00:00:00"/>
    <s v="Fear fact."/>
    <x v="646"/>
    <s v="Shopping"/>
    <x v="4"/>
    <s v="516.37"/>
    <x v="0"/>
    <x v="2"/>
    <x v="2"/>
  </r>
  <r>
    <d v="2022-04-01T00:00:00"/>
    <s v="Difference world deep."/>
    <x v="647"/>
    <s v="Food &amp; Drink"/>
    <x v="0"/>
    <s v="1869.82"/>
    <x v="0"/>
    <x v="3"/>
    <x v="2"/>
  </r>
  <r>
    <d v="2022-04-01T00:00:00"/>
    <s v="Model its rather card you."/>
    <x v="648"/>
    <s v="Investment"/>
    <x v="3"/>
    <s v="1098.0"/>
    <x v="1"/>
    <x v="3"/>
    <x v="2"/>
  </r>
  <r>
    <d v="2022-04-01T00:00:00"/>
    <s v="Seek close trade speech."/>
    <x v="649"/>
    <s v="Other"/>
    <x v="5"/>
    <s v="1022.0"/>
    <x v="1"/>
    <x v="3"/>
    <x v="2"/>
  </r>
  <r>
    <d v="2022-04-01T00:00:00"/>
    <s v="Mean but represent society heart."/>
    <x v="650"/>
    <s v="Other"/>
    <x v="5"/>
    <s v="759.0"/>
    <x v="1"/>
    <x v="3"/>
    <x v="2"/>
  </r>
  <r>
    <d v="2022-04-02T00:00:00"/>
    <s v="Indicate herself."/>
    <x v="651"/>
    <s v="Shopping"/>
    <x v="4"/>
    <s v="755.18"/>
    <x v="0"/>
    <x v="3"/>
    <x v="2"/>
  </r>
  <r>
    <d v="2022-04-02T00:00:00"/>
    <s v="Perhaps order answer blue structure."/>
    <x v="652"/>
    <s v="Utilities"/>
    <x v="1"/>
    <s v="1540.25"/>
    <x v="0"/>
    <x v="3"/>
    <x v="2"/>
  </r>
  <r>
    <d v="2022-04-03T00:00:00"/>
    <s v="Listen check receive."/>
    <x v="653"/>
    <s v="Salary"/>
    <x v="8"/>
    <s v="1740.54"/>
    <x v="0"/>
    <x v="3"/>
    <x v="2"/>
  </r>
  <r>
    <d v="2022-04-03T00:00:00"/>
    <s v="Inside big minute."/>
    <x v="654"/>
    <s v="Shopping"/>
    <x v="4"/>
    <s v="169.7"/>
    <x v="0"/>
    <x v="3"/>
    <x v="2"/>
  </r>
  <r>
    <d v="2022-04-04T00:00:00"/>
    <s v="Store bit responsibility brother."/>
    <x v="655"/>
    <s v="Utilities"/>
    <x v="1"/>
    <s v="1310.53"/>
    <x v="0"/>
    <x v="3"/>
    <x v="2"/>
  </r>
  <r>
    <d v="2022-04-05T00:00:00"/>
    <s v="Marriage participant."/>
    <x v="656"/>
    <s v="Utilities"/>
    <x v="1"/>
    <s v="1985.77"/>
    <x v="0"/>
    <x v="3"/>
    <x v="2"/>
  </r>
  <r>
    <d v="2022-04-08T00:00:00"/>
    <s v="Win group important civil nature."/>
    <x v="657"/>
    <s v="Utilities"/>
    <x v="1"/>
    <s v="1458.44"/>
    <x v="0"/>
    <x v="3"/>
    <x v="2"/>
  </r>
  <r>
    <d v="2022-04-09T00:00:00"/>
    <s v="Former able public trade."/>
    <x v="658"/>
    <s v="Food &amp; Drink"/>
    <x v="0"/>
    <s v="1514.8"/>
    <x v="0"/>
    <x v="3"/>
    <x v="2"/>
  </r>
  <r>
    <d v="2022-04-09T00:00:00"/>
    <s v="Chance bed memory rich."/>
    <x v="659"/>
    <s v="Salary"/>
    <x v="8"/>
    <s v="1350.26"/>
    <x v="0"/>
    <x v="3"/>
    <x v="2"/>
  </r>
  <r>
    <d v="2022-04-10T00:00:00"/>
    <s v="Anyone spend them system."/>
    <x v="660"/>
    <s v="Health &amp; Fitness"/>
    <x v="7"/>
    <s v="318.69"/>
    <x v="0"/>
    <x v="3"/>
    <x v="2"/>
  </r>
  <r>
    <d v="2022-04-10T00:00:00"/>
    <s v="Popular lead with."/>
    <x v="661"/>
    <s v="Shopping"/>
    <x v="4"/>
    <s v="1648.49"/>
    <x v="0"/>
    <x v="3"/>
    <x v="2"/>
  </r>
  <r>
    <d v="2022-04-16T00:00:00"/>
    <s v="International break surface three."/>
    <x v="662"/>
    <s v="Investment"/>
    <x v="3"/>
    <s v="763.0"/>
    <x v="1"/>
    <x v="3"/>
    <x v="2"/>
  </r>
  <r>
    <d v="2022-04-18T00:00:00"/>
    <s v="Environmental run head garden box."/>
    <x v="663"/>
    <s v="Food &amp; Drink"/>
    <x v="0"/>
    <s v="488.93"/>
    <x v="0"/>
    <x v="3"/>
    <x v="2"/>
  </r>
  <r>
    <d v="2022-04-18T00:00:00"/>
    <s v="Professional color group."/>
    <x v="664"/>
    <s v="Shopping"/>
    <x v="4"/>
    <s v="1233.7"/>
    <x v="0"/>
    <x v="3"/>
    <x v="2"/>
  </r>
  <r>
    <d v="2022-04-21T00:00:00"/>
    <s v="Even history surface son."/>
    <x v="665"/>
    <s v="Investment"/>
    <x v="3"/>
    <s v="4157.0"/>
    <x v="1"/>
    <x v="3"/>
    <x v="2"/>
  </r>
  <r>
    <d v="2022-04-22T00:00:00"/>
    <s v="Car risk."/>
    <x v="666"/>
    <s v="Food &amp; Drink"/>
    <x v="0"/>
    <s v="497.02"/>
    <x v="0"/>
    <x v="3"/>
    <x v="2"/>
  </r>
  <r>
    <d v="2022-04-22T00:00:00"/>
    <s v="Indeed opportunity."/>
    <x v="667"/>
    <s v="Other"/>
    <x v="5"/>
    <s v="2419.0"/>
    <x v="1"/>
    <x v="3"/>
    <x v="2"/>
  </r>
  <r>
    <d v="2022-04-24T00:00:00"/>
    <s v="Turn both in animal."/>
    <x v="668"/>
    <s v="Entertainment"/>
    <x v="6"/>
    <s v="1633.41"/>
    <x v="0"/>
    <x v="3"/>
    <x v="2"/>
  </r>
  <r>
    <d v="2022-04-24T00:00:00"/>
    <s v="Consider here grow agreement."/>
    <x v="669"/>
    <s v="Food &amp; Drink"/>
    <x v="0"/>
    <s v="288.87"/>
    <x v="0"/>
    <x v="3"/>
    <x v="2"/>
  </r>
  <r>
    <d v="2022-04-29T00:00:00"/>
    <s v="Actually than modern season."/>
    <x v="670"/>
    <s v="Health &amp; Fitness"/>
    <x v="7"/>
    <s v="1159.17"/>
    <x v="0"/>
    <x v="3"/>
    <x v="2"/>
  </r>
  <r>
    <d v="2022-04-30T00:00:00"/>
    <s v="Within prove full."/>
    <x v="671"/>
    <s v="Health &amp; Fitness"/>
    <x v="7"/>
    <s v="481.44"/>
    <x v="0"/>
    <x v="3"/>
    <x v="2"/>
  </r>
  <r>
    <d v="2022-05-02T00:00:00"/>
    <s v="Believe product eat generation put."/>
    <x v="672"/>
    <s v="Entertainment"/>
    <x v="6"/>
    <s v="832.98"/>
    <x v="0"/>
    <x v="4"/>
    <x v="2"/>
  </r>
  <r>
    <d v="2022-05-02T00:00:00"/>
    <s v="Stuff next write."/>
    <x v="673"/>
    <s v="Utilities"/>
    <x v="1"/>
    <s v="1255.73"/>
    <x v="0"/>
    <x v="4"/>
    <x v="2"/>
  </r>
  <r>
    <d v="2022-05-03T00:00:00"/>
    <s v="Poor church."/>
    <x v="674"/>
    <s v="Salary"/>
    <x v="8"/>
    <s v="103.3"/>
    <x v="0"/>
    <x v="4"/>
    <x v="2"/>
  </r>
  <r>
    <d v="2022-05-05T00:00:00"/>
    <s v="Thank avoid man drive."/>
    <x v="675"/>
    <s v="Shopping"/>
    <x v="4"/>
    <s v="1573.75"/>
    <x v="0"/>
    <x v="4"/>
    <x v="2"/>
  </r>
  <r>
    <d v="2022-05-05T00:00:00"/>
    <s v="Medical nearly."/>
    <x v="676"/>
    <s v="Shopping"/>
    <x v="4"/>
    <s v="822.44"/>
    <x v="0"/>
    <x v="4"/>
    <x v="2"/>
  </r>
  <r>
    <d v="2022-05-06T00:00:00"/>
    <s v="Stage bad know of."/>
    <x v="677"/>
    <s v="Utilities"/>
    <x v="1"/>
    <s v="1511.29"/>
    <x v="0"/>
    <x v="4"/>
    <x v="2"/>
  </r>
  <r>
    <d v="2022-05-07T00:00:00"/>
    <s v="Language budget market president."/>
    <x v="678"/>
    <s v="Entertainment"/>
    <x v="6"/>
    <s v="608.47"/>
    <x v="0"/>
    <x v="4"/>
    <x v="2"/>
  </r>
  <r>
    <d v="2022-05-07T00:00:00"/>
    <s v="Include news a before."/>
    <x v="679"/>
    <s v="Salary"/>
    <x v="8"/>
    <s v="1830.33"/>
    <x v="0"/>
    <x v="4"/>
    <x v="2"/>
  </r>
  <r>
    <d v="2022-05-07T00:00:00"/>
    <s v="None pressure lay future stay."/>
    <x v="680"/>
    <s v="Shopping"/>
    <x v="4"/>
    <s v="1119.0"/>
    <x v="0"/>
    <x v="4"/>
    <x v="2"/>
  </r>
  <r>
    <d v="2022-05-08T00:00:00"/>
    <s v="Forward should outside respond."/>
    <x v="681"/>
    <s v="Investment"/>
    <x v="3"/>
    <s v="2588.0"/>
    <x v="1"/>
    <x v="4"/>
    <x v="2"/>
  </r>
  <r>
    <d v="2022-05-08T00:00:00"/>
    <s v="Box service develop game."/>
    <x v="682"/>
    <s v="Rent"/>
    <x v="2"/>
    <s v="1845.23"/>
    <x v="0"/>
    <x v="4"/>
    <x v="2"/>
  </r>
  <r>
    <d v="2022-05-09T00:00:00"/>
    <s v="Effect cultural."/>
    <x v="683"/>
    <s v="Food &amp; Drink"/>
    <x v="0"/>
    <s v="544.24"/>
    <x v="0"/>
    <x v="4"/>
    <x v="2"/>
  </r>
  <r>
    <d v="2022-05-09T00:00:00"/>
    <s v="Miss reduce animal clearly cell."/>
    <x v="684"/>
    <s v="Rent"/>
    <x v="2"/>
    <s v="1075.91"/>
    <x v="0"/>
    <x v="4"/>
    <x v="2"/>
  </r>
  <r>
    <d v="2022-05-11T00:00:00"/>
    <s v="Democratic station course full."/>
    <x v="685"/>
    <s v="Food &amp; Drink"/>
    <x v="0"/>
    <s v="1748.5"/>
    <x v="0"/>
    <x v="4"/>
    <x v="2"/>
  </r>
  <r>
    <d v="2022-05-13T00:00:00"/>
    <s v="Leader operation mean white."/>
    <x v="686"/>
    <s v="Health &amp; Fitness"/>
    <x v="7"/>
    <s v="613.34"/>
    <x v="0"/>
    <x v="4"/>
    <x v="2"/>
  </r>
  <r>
    <d v="2022-05-13T00:00:00"/>
    <s v="Unit study."/>
    <x v="687"/>
    <s v="Investment"/>
    <x v="3"/>
    <s v="4427.0"/>
    <x v="1"/>
    <x v="4"/>
    <x v="2"/>
  </r>
  <r>
    <d v="2022-05-14T00:00:00"/>
    <s v="Save network item one under."/>
    <x v="688"/>
    <s v="Entertainment"/>
    <x v="6"/>
    <s v="1874.95"/>
    <x v="0"/>
    <x v="4"/>
    <x v="2"/>
  </r>
  <r>
    <d v="2022-05-19T00:00:00"/>
    <s v="Thing industry participant realize."/>
    <x v="689"/>
    <s v="Entertainment"/>
    <x v="6"/>
    <s v="1394.3"/>
    <x v="0"/>
    <x v="4"/>
    <x v="2"/>
  </r>
  <r>
    <d v="2022-05-19T00:00:00"/>
    <s v="Community spring billion price paper."/>
    <x v="690"/>
    <s v="Rent"/>
    <x v="2"/>
    <s v="1496.29"/>
    <x v="0"/>
    <x v="4"/>
    <x v="2"/>
  </r>
  <r>
    <d v="2022-05-20T00:00:00"/>
    <s v="Huge garden family."/>
    <x v="691"/>
    <s v="Shopping"/>
    <x v="4"/>
    <s v="1831.1"/>
    <x v="0"/>
    <x v="4"/>
    <x v="2"/>
  </r>
  <r>
    <d v="2022-05-20T00:00:00"/>
    <s v="Include record security."/>
    <x v="692"/>
    <s v="Travel"/>
    <x v="9"/>
    <s v="767.52"/>
    <x v="0"/>
    <x v="4"/>
    <x v="2"/>
  </r>
  <r>
    <d v="2022-05-22T00:00:00"/>
    <s v="Team republican very plan cut."/>
    <x v="693"/>
    <s v="Health &amp; Fitness"/>
    <x v="7"/>
    <s v="623.76"/>
    <x v="0"/>
    <x v="4"/>
    <x v="2"/>
  </r>
  <r>
    <d v="2022-05-23T00:00:00"/>
    <s v="Tv car report window."/>
    <x v="694"/>
    <s v="Salary"/>
    <x v="8"/>
    <s v="937.35"/>
    <x v="0"/>
    <x v="4"/>
    <x v="2"/>
  </r>
  <r>
    <d v="2022-05-24T00:00:00"/>
    <s v="Old wall report purpose."/>
    <x v="695"/>
    <s v="Entertainment"/>
    <x v="6"/>
    <s v="747.7"/>
    <x v="0"/>
    <x v="4"/>
    <x v="2"/>
  </r>
  <r>
    <d v="2022-05-24T00:00:00"/>
    <s v="My pm report set."/>
    <x v="696"/>
    <s v="Salary"/>
    <x v="8"/>
    <s v="1525.64"/>
    <x v="0"/>
    <x v="4"/>
    <x v="2"/>
  </r>
  <r>
    <d v="2022-05-25T00:00:00"/>
    <s v="There institution actually."/>
    <x v="697"/>
    <s v="Entertainment"/>
    <x v="6"/>
    <s v="1485.09"/>
    <x v="0"/>
    <x v="4"/>
    <x v="2"/>
  </r>
  <r>
    <d v="2022-05-27T00:00:00"/>
    <s v="Herself apply."/>
    <x v="698"/>
    <s v="Other"/>
    <x v="5"/>
    <s v="2918.0"/>
    <x v="1"/>
    <x v="4"/>
    <x v="2"/>
  </r>
  <r>
    <d v="2022-05-28T00:00:00"/>
    <s v="Environment size worker."/>
    <x v="699"/>
    <s v="Other"/>
    <x v="5"/>
    <s v="2384.0"/>
    <x v="1"/>
    <x v="4"/>
    <x v="2"/>
  </r>
  <r>
    <d v="2022-05-29T00:00:00"/>
    <s v="Style real far."/>
    <x v="700"/>
    <s v="Entertainment"/>
    <x v="6"/>
    <s v="1003.61"/>
    <x v="0"/>
    <x v="4"/>
    <x v="2"/>
  </r>
  <r>
    <d v="2022-05-29T00:00:00"/>
    <s v="Grow laugh."/>
    <x v="701"/>
    <s v="Health &amp; Fitness"/>
    <x v="7"/>
    <s v="522.08"/>
    <x v="0"/>
    <x v="4"/>
    <x v="2"/>
  </r>
  <r>
    <d v="2022-05-30T00:00:00"/>
    <s v="Unit hold."/>
    <x v="702"/>
    <s v="Health &amp; Fitness"/>
    <x v="7"/>
    <s v="346.84"/>
    <x v="0"/>
    <x v="4"/>
    <x v="2"/>
  </r>
  <r>
    <d v="2022-05-30T00:00:00"/>
    <s v="Score night down."/>
    <x v="703"/>
    <s v="Salary"/>
    <x v="8"/>
    <s v="927.05"/>
    <x v="0"/>
    <x v="4"/>
    <x v="2"/>
  </r>
  <r>
    <d v="2022-05-31T00:00:00"/>
    <s v="Approach season data than team."/>
    <x v="704"/>
    <s v="Salary"/>
    <x v="8"/>
    <s v="376.26"/>
    <x v="0"/>
    <x v="4"/>
    <x v="2"/>
  </r>
  <r>
    <d v="2022-06-01T00:00:00"/>
    <s v="Treatment relate positive."/>
    <x v="705"/>
    <s v="Food &amp; Drink"/>
    <x v="0"/>
    <s v="1052.65"/>
    <x v="0"/>
    <x v="5"/>
    <x v="2"/>
  </r>
  <r>
    <d v="2022-06-01T00:00:00"/>
    <s v="Cultural right cover large work."/>
    <x v="706"/>
    <s v="Rent"/>
    <x v="2"/>
    <s v="1890.92"/>
    <x v="0"/>
    <x v="5"/>
    <x v="2"/>
  </r>
  <r>
    <d v="2022-06-04T00:00:00"/>
    <s v="Evidence enough claim suffer."/>
    <x v="707"/>
    <s v="Entertainment"/>
    <x v="6"/>
    <s v="145.26"/>
    <x v="0"/>
    <x v="5"/>
    <x v="2"/>
  </r>
  <r>
    <d v="2022-06-04T00:00:00"/>
    <s v="While same budget."/>
    <x v="708"/>
    <s v="Food &amp; Drink"/>
    <x v="0"/>
    <s v="830.66"/>
    <x v="0"/>
    <x v="5"/>
    <x v="2"/>
  </r>
  <r>
    <d v="2022-06-06T00:00:00"/>
    <s v="Letter visit always up."/>
    <x v="709"/>
    <s v="Investment"/>
    <x v="3"/>
    <s v="4642.0"/>
    <x v="1"/>
    <x v="5"/>
    <x v="2"/>
  </r>
  <r>
    <d v="2022-06-07T00:00:00"/>
    <s v="Past product make of group."/>
    <x v="710"/>
    <s v="Food &amp; Drink"/>
    <x v="0"/>
    <s v="1239.49"/>
    <x v="0"/>
    <x v="5"/>
    <x v="2"/>
  </r>
  <r>
    <d v="2022-06-07T00:00:00"/>
    <s v="Detail contain attention measure indeed."/>
    <x v="711"/>
    <s v="Salary"/>
    <x v="8"/>
    <s v="1321.98"/>
    <x v="0"/>
    <x v="5"/>
    <x v="2"/>
  </r>
  <r>
    <d v="2022-06-11T00:00:00"/>
    <s v="Begin determine degree forward."/>
    <x v="712"/>
    <s v="Other"/>
    <x v="5"/>
    <s v="597.0"/>
    <x v="1"/>
    <x v="5"/>
    <x v="2"/>
  </r>
  <r>
    <d v="2022-06-11T00:00:00"/>
    <s v="Despite sell most."/>
    <x v="713"/>
    <s v="Other"/>
    <x v="5"/>
    <s v="4888.0"/>
    <x v="1"/>
    <x v="5"/>
    <x v="2"/>
  </r>
  <r>
    <d v="2022-06-12T00:00:00"/>
    <s v="Boy generation."/>
    <x v="714"/>
    <s v="Food &amp; Drink"/>
    <x v="0"/>
    <s v="1009.41"/>
    <x v="0"/>
    <x v="5"/>
    <x v="2"/>
  </r>
  <r>
    <d v="2022-06-12T00:00:00"/>
    <s v="Either rich agency might."/>
    <x v="715"/>
    <s v="Rent"/>
    <x v="2"/>
    <s v="1836.92"/>
    <x v="0"/>
    <x v="5"/>
    <x v="2"/>
  </r>
  <r>
    <d v="2022-06-12T00:00:00"/>
    <s v="Truth during always those high."/>
    <x v="716"/>
    <s v="Shopping"/>
    <x v="4"/>
    <s v="1614.27"/>
    <x v="0"/>
    <x v="5"/>
    <x v="2"/>
  </r>
  <r>
    <d v="2022-06-13T00:00:00"/>
    <s v="Sort knowledge analysis together court."/>
    <x v="717"/>
    <s v="Entertainment"/>
    <x v="6"/>
    <s v="391.94"/>
    <x v="0"/>
    <x v="5"/>
    <x v="2"/>
  </r>
  <r>
    <d v="2022-06-17T00:00:00"/>
    <s v="Way cold."/>
    <x v="718"/>
    <s v="Health &amp; Fitness"/>
    <x v="7"/>
    <s v="541.98"/>
    <x v="0"/>
    <x v="5"/>
    <x v="2"/>
  </r>
  <r>
    <d v="2022-06-17T00:00:00"/>
    <s v="Account assume prove similar ten."/>
    <x v="719"/>
    <s v="Health &amp; Fitness"/>
    <x v="7"/>
    <s v="1919.0"/>
    <x v="0"/>
    <x v="5"/>
    <x v="2"/>
  </r>
  <r>
    <d v="2022-06-18T00:00:00"/>
    <s v="Day stock."/>
    <x v="720"/>
    <s v="Entertainment"/>
    <x v="6"/>
    <s v="1980.56"/>
    <x v="0"/>
    <x v="5"/>
    <x v="2"/>
  </r>
  <r>
    <d v="2022-06-19T00:00:00"/>
    <s v="Section child."/>
    <x v="721"/>
    <s v="Rent"/>
    <x v="2"/>
    <s v="1310.93"/>
    <x v="0"/>
    <x v="5"/>
    <x v="2"/>
  </r>
  <r>
    <d v="2022-06-20T00:00:00"/>
    <s v="Also available concern edge."/>
    <x v="722"/>
    <s v="Food &amp; Drink"/>
    <x v="0"/>
    <s v="196.07"/>
    <x v="0"/>
    <x v="5"/>
    <x v="2"/>
  </r>
  <r>
    <d v="2022-06-21T00:00:00"/>
    <s v="Hope brother."/>
    <x v="723"/>
    <s v="Investment"/>
    <x v="3"/>
    <s v="1177.0"/>
    <x v="1"/>
    <x v="5"/>
    <x v="2"/>
  </r>
  <r>
    <d v="2022-06-21T00:00:00"/>
    <s v="Start treat imagine later identify."/>
    <x v="724"/>
    <s v="Salary"/>
    <x v="8"/>
    <s v="121.67"/>
    <x v="0"/>
    <x v="5"/>
    <x v="2"/>
  </r>
  <r>
    <d v="2022-06-23T00:00:00"/>
    <s v="Face rate."/>
    <x v="725"/>
    <s v="Rent"/>
    <x v="2"/>
    <s v="1790.63"/>
    <x v="0"/>
    <x v="5"/>
    <x v="2"/>
  </r>
  <r>
    <d v="2022-06-23T00:00:00"/>
    <s v="As second animal summer group."/>
    <x v="726"/>
    <s v="Shopping"/>
    <x v="4"/>
    <s v="1293.37"/>
    <x v="0"/>
    <x v="5"/>
    <x v="2"/>
  </r>
  <r>
    <d v="2022-06-25T00:00:00"/>
    <s v="She join house."/>
    <x v="727"/>
    <s v="Entertainment"/>
    <x v="6"/>
    <s v="430.72"/>
    <x v="0"/>
    <x v="5"/>
    <x v="2"/>
  </r>
  <r>
    <d v="2022-06-25T00:00:00"/>
    <s v="Choose detail section someone."/>
    <x v="728"/>
    <s v="Salary"/>
    <x v="8"/>
    <s v="549.48"/>
    <x v="0"/>
    <x v="5"/>
    <x v="2"/>
  </r>
  <r>
    <d v="2022-06-26T00:00:00"/>
    <s v="Network never."/>
    <x v="729"/>
    <s v="Food &amp; Drink"/>
    <x v="0"/>
    <s v="366.92"/>
    <x v="0"/>
    <x v="5"/>
    <x v="2"/>
  </r>
  <r>
    <d v="2022-06-26T00:00:00"/>
    <s v="Whether century quality."/>
    <x v="730"/>
    <s v="Travel"/>
    <x v="9"/>
    <s v="1799.63"/>
    <x v="0"/>
    <x v="5"/>
    <x v="2"/>
  </r>
  <r>
    <d v="2022-06-30T00:00:00"/>
    <s v="Above others."/>
    <x v="731"/>
    <s v="Food &amp; Drink"/>
    <x v="0"/>
    <s v="1923.32"/>
    <x v="0"/>
    <x v="5"/>
    <x v="2"/>
  </r>
  <r>
    <d v="2022-07-01T00:00:00"/>
    <s v="Water fight security tough gas."/>
    <x v="732"/>
    <s v="Shopping"/>
    <x v="4"/>
    <s v="1858.46"/>
    <x v="0"/>
    <x v="6"/>
    <x v="2"/>
  </r>
  <r>
    <d v="2022-07-02T00:00:00"/>
    <s v="Central contain pattern education boy."/>
    <x v="733"/>
    <s v="Entertainment"/>
    <x v="6"/>
    <s v="1137.72"/>
    <x v="0"/>
    <x v="6"/>
    <x v="2"/>
  </r>
  <r>
    <d v="2022-07-04T00:00:00"/>
    <s v="Maintain former campaign pretty beyond."/>
    <x v="734"/>
    <s v="Food &amp; Drink"/>
    <x v="0"/>
    <s v="204.39"/>
    <x v="0"/>
    <x v="6"/>
    <x v="2"/>
  </r>
  <r>
    <d v="2022-07-04T00:00:00"/>
    <s v="Surface usually."/>
    <x v="735"/>
    <s v="Health &amp; Fitness"/>
    <x v="7"/>
    <s v="773.85"/>
    <x v="0"/>
    <x v="6"/>
    <x v="2"/>
  </r>
  <r>
    <d v="2022-07-04T00:00:00"/>
    <s v="Popular available public economy."/>
    <x v="736"/>
    <s v="Rent"/>
    <x v="2"/>
    <s v="1006.58"/>
    <x v="0"/>
    <x v="6"/>
    <x v="2"/>
  </r>
  <r>
    <d v="2022-07-05T00:00:00"/>
    <s v="Fish late pattern."/>
    <x v="737"/>
    <s v="Rent"/>
    <x v="2"/>
    <s v="687.78"/>
    <x v="0"/>
    <x v="6"/>
    <x v="2"/>
  </r>
  <r>
    <d v="2022-07-06T00:00:00"/>
    <s v="Charge note space when collection."/>
    <x v="738"/>
    <s v="Shopping"/>
    <x v="4"/>
    <s v="1938.15"/>
    <x v="0"/>
    <x v="6"/>
    <x v="2"/>
  </r>
  <r>
    <d v="2022-07-13T00:00:00"/>
    <s v="Size republican political."/>
    <x v="739"/>
    <s v="Travel"/>
    <x v="9"/>
    <s v="1569.26"/>
    <x v="0"/>
    <x v="6"/>
    <x v="2"/>
  </r>
  <r>
    <d v="2022-07-17T00:00:00"/>
    <s v="Care run there leg."/>
    <x v="740"/>
    <s v="Entertainment"/>
    <x v="6"/>
    <s v="718.06"/>
    <x v="0"/>
    <x v="6"/>
    <x v="2"/>
  </r>
  <r>
    <d v="2022-07-17T00:00:00"/>
    <s v="Main board population."/>
    <x v="741"/>
    <s v="Shopping"/>
    <x v="4"/>
    <s v="379.62"/>
    <x v="0"/>
    <x v="6"/>
    <x v="2"/>
  </r>
  <r>
    <d v="2022-07-17T00:00:00"/>
    <s v="Teach cause mrs."/>
    <x v="742"/>
    <s v="Shopping"/>
    <x v="4"/>
    <s v="180.53"/>
    <x v="0"/>
    <x v="6"/>
    <x v="2"/>
  </r>
  <r>
    <d v="2022-07-18T00:00:00"/>
    <s v="Baby away affect medical all."/>
    <x v="743"/>
    <s v="Entertainment"/>
    <x v="6"/>
    <s v="1429.09"/>
    <x v="0"/>
    <x v="6"/>
    <x v="2"/>
  </r>
  <r>
    <d v="2022-07-18T00:00:00"/>
    <s v="If operation trade necessary myself."/>
    <x v="744"/>
    <s v="Investment"/>
    <x v="3"/>
    <s v="3612.0"/>
    <x v="1"/>
    <x v="6"/>
    <x v="2"/>
  </r>
  <r>
    <d v="2022-07-19T00:00:00"/>
    <s v="President chance hotel through."/>
    <x v="745"/>
    <s v="Utilities"/>
    <x v="1"/>
    <s v="1481.91"/>
    <x v="0"/>
    <x v="6"/>
    <x v="2"/>
  </r>
  <r>
    <d v="2022-07-20T00:00:00"/>
    <s v="Let member however."/>
    <x v="746"/>
    <s v="Rent"/>
    <x v="2"/>
    <s v="192.13"/>
    <x v="0"/>
    <x v="6"/>
    <x v="2"/>
  </r>
  <r>
    <d v="2022-07-22T00:00:00"/>
    <s v="Production summer."/>
    <x v="747"/>
    <s v="Salary"/>
    <x v="8"/>
    <s v="726.24"/>
    <x v="0"/>
    <x v="6"/>
    <x v="2"/>
  </r>
  <r>
    <d v="2022-07-25T00:00:00"/>
    <s v="Cell city not not the."/>
    <x v="748"/>
    <s v="Utilities"/>
    <x v="1"/>
    <s v="183.72"/>
    <x v="0"/>
    <x v="6"/>
    <x v="2"/>
  </r>
  <r>
    <d v="2022-07-27T00:00:00"/>
    <s v="Truth thing always possible."/>
    <x v="749"/>
    <s v="Food &amp; Drink"/>
    <x v="0"/>
    <s v="590.78"/>
    <x v="0"/>
    <x v="6"/>
    <x v="2"/>
  </r>
  <r>
    <d v="2022-07-27T00:00:00"/>
    <s v="Doctor protect military social."/>
    <x v="750"/>
    <s v="Investment"/>
    <x v="3"/>
    <s v="3157.0"/>
    <x v="1"/>
    <x v="6"/>
    <x v="2"/>
  </r>
  <r>
    <d v="2022-07-27T00:00:00"/>
    <s v="Plant event score official now."/>
    <x v="751"/>
    <s v="Rent"/>
    <x v="2"/>
    <s v="1452.44"/>
    <x v="0"/>
    <x v="6"/>
    <x v="2"/>
  </r>
  <r>
    <d v="2022-07-27T00:00:00"/>
    <s v="Voice american seven discussion."/>
    <x v="752"/>
    <s v="Shopping"/>
    <x v="4"/>
    <s v="215.55"/>
    <x v="0"/>
    <x v="6"/>
    <x v="2"/>
  </r>
  <r>
    <d v="2022-07-28T00:00:00"/>
    <s v="Half president structure might."/>
    <x v="753"/>
    <s v="Entertainment"/>
    <x v="6"/>
    <s v="1148.2"/>
    <x v="0"/>
    <x v="6"/>
    <x v="2"/>
  </r>
  <r>
    <d v="2022-07-28T00:00:00"/>
    <s v="Might good test."/>
    <x v="754"/>
    <s v="Other"/>
    <x v="5"/>
    <s v="1888.0"/>
    <x v="1"/>
    <x v="6"/>
    <x v="2"/>
  </r>
  <r>
    <d v="2022-07-29T00:00:00"/>
    <s v="Thought according think key."/>
    <x v="755"/>
    <s v="Other"/>
    <x v="5"/>
    <s v="2698.0"/>
    <x v="1"/>
    <x v="6"/>
    <x v="2"/>
  </r>
  <r>
    <d v="2022-07-30T00:00:00"/>
    <s v="Method exactly."/>
    <x v="756"/>
    <s v="Rent"/>
    <x v="2"/>
    <s v="342.74"/>
    <x v="0"/>
    <x v="6"/>
    <x v="2"/>
  </r>
  <r>
    <d v="2022-07-31T00:00:00"/>
    <s v="Church own stage."/>
    <x v="757"/>
    <s v="Travel"/>
    <x v="9"/>
    <s v="973.62"/>
    <x v="0"/>
    <x v="6"/>
    <x v="2"/>
  </r>
  <r>
    <d v="2022-08-02T00:00:00"/>
    <s v="Specific result loss long."/>
    <x v="758"/>
    <s v="Other"/>
    <x v="5"/>
    <s v="2520.0"/>
    <x v="1"/>
    <x v="7"/>
    <x v="2"/>
  </r>
  <r>
    <d v="2022-08-02T00:00:00"/>
    <s v="Claim street against amount of."/>
    <x v="759"/>
    <s v="Salary"/>
    <x v="8"/>
    <s v="1191.67"/>
    <x v="0"/>
    <x v="7"/>
    <x v="2"/>
  </r>
  <r>
    <d v="2022-08-03T00:00:00"/>
    <s v="Picture always occur."/>
    <x v="760"/>
    <s v="Investment"/>
    <x v="3"/>
    <s v="1609.0"/>
    <x v="1"/>
    <x v="7"/>
    <x v="2"/>
  </r>
  <r>
    <d v="2022-08-04T00:00:00"/>
    <s v="Election conference when."/>
    <x v="761"/>
    <s v="Shopping"/>
    <x v="4"/>
    <s v="671.11"/>
    <x v="0"/>
    <x v="7"/>
    <x v="2"/>
  </r>
  <r>
    <d v="2022-08-06T00:00:00"/>
    <s v="These road."/>
    <x v="762"/>
    <s v="Health &amp; Fitness"/>
    <x v="7"/>
    <s v="886.04"/>
    <x v="0"/>
    <x v="7"/>
    <x v="2"/>
  </r>
  <r>
    <d v="2022-08-07T00:00:00"/>
    <s v="Describe paper."/>
    <x v="763"/>
    <s v="Utilities"/>
    <x v="1"/>
    <s v="607.87"/>
    <x v="0"/>
    <x v="7"/>
    <x v="2"/>
  </r>
  <r>
    <d v="2022-08-12T00:00:00"/>
    <s v="Color store over some."/>
    <x v="764"/>
    <s v="Entertainment"/>
    <x v="6"/>
    <s v="963.23"/>
    <x v="0"/>
    <x v="7"/>
    <x v="2"/>
  </r>
  <r>
    <d v="2022-08-13T00:00:00"/>
    <s v="Process enough right garden law."/>
    <x v="765"/>
    <s v="Other"/>
    <x v="5"/>
    <s v="3114.0"/>
    <x v="1"/>
    <x v="7"/>
    <x v="2"/>
  </r>
  <r>
    <d v="2022-08-15T00:00:00"/>
    <s v="Range step painting concern."/>
    <x v="766"/>
    <s v="Health &amp; Fitness"/>
    <x v="7"/>
    <s v="758.35"/>
    <x v="0"/>
    <x v="7"/>
    <x v="2"/>
  </r>
  <r>
    <d v="2022-08-15T00:00:00"/>
    <s v="Her car admit."/>
    <x v="767"/>
    <s v="Salary"/>
    <x v="8"/>
    <s v="1935.85"/>
    <x v="0"/>
    <x v="7"/>
    <x v="2"/>
  </r>
  <r>
    <d v="2022-08-16T00:00:00"/>
    <s v="Miss have analysis morning."/>
    <x v="768"/>
    <s v="Entertainment"/>
    <x v="6"/>
    <s v="1188.53"/>
    <x v="0"/>
    <x v="7"/>
    <x v="2"/>
  </r>
  <r>
    <d v="2022-08-16T00:00:00"/>
    <s v="Me brother lot candidate owner."/>
    <x v="769"/>
    <s v="Shopping"/>
    <x v="4"/>
    <s v="736.38"/>
    <x v="0"/>
    <x v="7"/>
    <x v="2"/>
  </r>
  <r>
    <d v="2022-08-17T00:00:00"/>
    <s v="Smile high open scientist."/>
    <x v="770"/>
    <s v="Food &amp; Drink"/>
    <x v="0"/>
    <s v="1906.48"/>
    <x v="0"/>
    <x v="7"/>
    <x v="2"/>
  </r>
  <r>
    <d v="2022-08-18T00:00:00"/>
    <s v="International effort."/>
    <x v="771"/>
    <s v="Entertainment"/>
    <x v="6"/>
    <s v="882.53"/>
    <x v="0"/>
    <x v="7"/>
    <x v="2"/>
  </r>
  <r>
    <d v="2022-08-19T00:00:00"/>
    <s v="Exist theory."/>
    <x v="772"/>
    <s v="Rent"/>
    <x v="2"/>
    <s v="1639.74"/>
    <x v="0"/>
    <x v="7"/>
    <x v="2"/>
  </r>
  <r>
    <d v="2022-08-21T00:00:00"/>
    <s v="Brother according pressure reach firm."/>
    <x v="773"/>
    <s v="Other"/>
    <x v="5"/>
    <s v="2482.0"/>
    <x v="1"/>
    <x v="7"/>
    <x v="2"/>
  </r>
  <r>
    <d v="2022-08-21T00:00:00"/>
    <s v="Country remember smile."/>
    <x v="774"/>
    <s v="Shopping"/>
    <x v="4"/>
    <s v="1349.23"/>
    <x v="0"/>
    <x v="7"/>
    <x v="2"/>
  </r>
  <r>
    <d v="2022-08-22T00:00:00"/>
    <s v="Talk interest hand."/>
    <x v="775"/>
    <s v="Rent"/>
    <x v="2"/>
    <s v="903.64"/>
    <x v="0"/>
    <x v="7"/>
    <x v="2"/>
  </r>
  <r>
    <d v="2022-08-22T00:00:00"/>
    <s v="Choice prepare."/>
    <x v="776"/>
    <s v="Utilities"/>
    <x v="1"/>
    <s v="1433.32"/>
    <x v="0"/>
    <x v="7"/>
    <x v="2"/>
  </r>
  <r>
    <d v="2022-08-23T00:00:00"/>
    <s v="Sense including six lot."/>
    <x v="777"/>
    <s v="Shopping"/>
    <x v="4"/>
    <s v="1073.39"/>
    <x v="0"/>
    <x v="7"/>
    <x v="2"/>
  </r>
  <r>
    <d v="2022-08-24T00:00:00"/>
    <s v="Never effect fill general relationship."/>
    <x v="778"/>
    <s v="Shopping"/>
    <x v="4"/>
    <s v="1091.85"/>
    <x v="0"/>
    <x v="7"/>
    <x v="2"/>
  </r>
  <r>
    <d v="2022-08-26T00:00:00"/>
    <s v="Security land record."/>
    <x v="779"/>
    <s v="Health &amp; Fitness"/>
    <x v="7"/>
    <s v="1406.25"/>
    <x v="0"/>
    <x v="7"/>
    <x v="2"/>
  </r>
  <r>
    <d v="2022-08-26T00:00:00"/>
    <s v="Democrat hundred."/>
    <x v="780"/>
    <s v="Rent"/>
    <x v="2"/>
    <s v="227.65"/>
    <x v="0"/>
    <x v="7"/>
    <x v="2"/>
  </r>
  <r>
    <d v="2022-08-28T00:00:00"/>
    <s v="Pass range appear home player."/>
    <x v="781"/>
    <s v="Health &amp; Fitness"/>
    <x v="7"/>
    <s v="341.01"/>
    <x v="0"/>
    <x v="7"/>
    <x v="2"/>
  </r>
  <r>
    <d v="2022-08-29T00:00:00"/>
    <s v="Likely outside because."/>
    <x v="782"/>
    <s v="Shopping"/>
    <x v="4"/>
    <s v="1933.95"/>
    <x v="0"/>
    <x v="7"/>
    <x v="2"/>
  </r>
  <r>
    <d v="2022-08-30T00:00:00"/>
    <s v="He participant right."/>
    <x v="783"/>
    <s v="Shopping"/>
    <x v="4"/>
    <s v="220.83"/>
    <x v="0"/>
    <x v="7"/>
    <x v="2"/>
  </r>
  <r>
    <d v="2022-08-31T00:00:00"/>
    <s v="Keep cut prevent sound."/>
    <x v="784"/>
    <s v="Entertainment"/>
    <x v="6"/>
    <s v="897.1"/>
    <x v="0"/>
    <x v="7"/>
    <x v="2"/>
  </r>
  <r>
    <d v="2022-08-31T00:00:00"/>
    <s v="Prevent expert white arm similar."/>
    <x v="785"/>
    <s v="Investment"/>
    <x v="3"/>
    <s v="4683.0"/>
    <x v="1"/>
    <x v="7"/>
    <x v="2"/>
  </r>
  <r>
    <d v="2022-09-01T00:00:00"/>
    <s v="Almost outside middle."/>
    <x v="786"/>
    <s v="Utilities"/>
    <x v="1"/>
    <s v="696.49"/>
    <x v="0"/>
    <x v="8"/>
    <x v="2"/>
  </r>
  <r>
    <d v="2022-09-02T00:00:00"/>
    <s v="College already dream a church."/>
    <x v="787"/>
    <s v="Investment"/>
    <x v="3"/>
    <s v="2920.0"/>
    <x v="1"/>
    <x v="8"/>
    <x v="2"/>
  </r>
  <r>
    <d v="2022-09-03T00:00:00"/>
    <s v="Give white everybody paper create."/>
    <x v="788"/>
    <s v="Entertainment"/>
    <x v="6"/>
    <s v="1047.02"/>
    <x v="0"/>
    <x v="8"/>
    <x v="2"/>
  </r>
  <r>
    <d v="2022-09-03T00:00:00"/>
    <s v="Good house only military."/>
    <x v="789"/>
    <s v="Rent"/>
    <x v="2"/>
    <s v="240.98"/>
    <x v="0"/>
    <x v="8"/>
    <x v="2"/>
  </r>
  <r>
    <d v="2022-09-03T00:00:00"/>
    <s v="Near risk."/>
    <x v="790"/>
    <s v="Utilities"/>
    <x v="1"/>
    <s v="703.17"/>
    <x v="0"/>
    <x v="8"/>
    <x v="2"/>
  </r>
  <r>
    <d v="2022-09-04T00:00:00"/>
    <s v="Sort what."/>
    <x v="791"/>
    <s v="Health &amp; Fitness"/>
    <x v="7"/>
    <s v="143.68"/>
    <x v="0"/>
    <x v="8"/>
    <x v="2"/>
  </r>
  <r>
    <d v="2022-09-04T00:00:00"/>
    <s v="Above company media next me."/>
    <x v="792"/>
    <s v="Rent"/>
    <x v="2"/>
    <s v="881.95"/>
    <x v="0"/>
    <x v="8"/>
    <x v="2"/>
  </r>
  <r>
    <d v="2022-09-05T00:00:00"/>
    <s v="Economic kind help low during."/>
    <x v="793"/>
    <s v="Investment"/>
    <x v="3"/>
    <s v="685.0"/>
    <x v="1"/>
    <x v="8"/>
    <x v="2"/>
  </r>
  <r>
    <d v="2022-09-06T00:00:00"/>
    <s v="Race to television loss."/>
    <x v="794"/>
    <s v="Rent"/>
    <x v="2"/>
    <s v="1357.51"/>
    <x v="0"/>
    <x v="8"/>
    <x v="2"/>
  </r>
  <r>
    <d v="2022-09-07T00:00:00"/>
    <s v="Him small."/>
    <x v="795"/>
    <s v="Investment"/>
    <x v="3"/>
    <s v="4727.0"/>
    <x v="1"/>
    <x v="8"/>
    <x v="2"/>
  </r>
  <r>
    <d v="2022-09-08T00:00:00"/>
    <s v="Son include good."/>
    <x v="796"/>
    <s v="Investment"/>
    <x v="3"/>
    <s v="3211.0"/>
    <x v="1"/>
    <x v="8"/>
    <x v="2"/>
  </r>
  <r>
    <d v="2022-09-10T00:00:00"/>
    <s v="Red enjoy."/>
    <x v="797"/>
    <s v="Salary"/>
    <x v="8"/>
    <s v="471.39"/>
    <x v="0"/>
    <x v="8"/>
    <x v="2"/>
  </r>
  <r>
    <d v="2022-09-11T00:00:00"/>
    <s v="Never condition."/>
    <x v="798"/>
    <s v="Shopping"/>
    <x v="4"/>
    <s v="68.09"/>
    <x v="0"/>
    <x v="8"/>
    <x v="2"/>
  </r>
  <r>
    <d v="2022-09-11T00:00:00"/>
    <s v="Human see."/>
    <x v="799"/>
    <s v="Utilities"/>
    <x v="1"/>
    <s v="380.91"/>
    <x v="0"/>
    <x v="8"/>
    <x v="2"/>
  </r>
  <r>
    <d v="2022-09-12T00:00:00"/>
    <s v="Despite off consumer second."/>
    <x v="800"/>
    <s v="Entertainment"/>
    <x v="6"/>
    <s v="904.65"/>
    <x v="0"/>
    <x v="8"/>
    <x v="2"/>
  </r>
  <r>
    <d v="2022-09-14T00:00:00"/>
    <s v="Say dog drug enter."/>
    <x v="801"/>
    <s v="Food &amp; Drink"/>
    <x v="0"/>
    <s v="1412.42"/>
    <x v="0"/>
    <x v="8"/>
    <x v="2"/>
  </r>
  <r>
    <d v="2022-09-15T00:00:00"/>
    <s v="Strong student green."/>
    <x v="802"/>
    <s v="Rent"/>
    <x v="2"/>
    <s v="1158.92"/>
    <x v="0"/>
    <x v="8"/>
    <x v="2"/>
  </r>
  <r>
    <d v="2022-09-15T00:00:00"/>
    <s v="Turn put professional."/>
    <x v="803"/>
    <s v="Utilities"/>
    <x v="1"/>
    <s v="737.93"/>
    <x v="0"/>
    <x v="8"/>
    <x v="2"/>
  </r>
  <r>
    <d v="2022-09-17T00:00:00"/>
    <s v="When summer he firm together."/>
    <x v="804"/>
    <s v="Investment"/>
    <x v="3"/>
    <s v="2649.0"/>
    <x v="1"/>
    <x v="8"/>
    <x v="2"/>
  </r>
  <r>
    <d v="2022-09-18T00:00:00"/>
    <s v="Make worker trouble."/>
    <x v="805"/>
    <s v="Salary"/>
    <x v="8"/>
    <s v="1060.15"/>
    <x v="0"/>
    <x v="8"/>
    <x v="2"/>
  </r>
  <r>
    <d v="2022-09-19T00:00:00"/>
    <s v="Allow girl team simply lead."/>
    <x v="806"/>
    <s v="Health &amp; Fitness"/>
    <x v="7"/>
    <s v="710.45"/>
    <x v="0"/>
    <x v="8"/>
    <x v="2"/>
  </r>
  <r>
    <d v="2022-09-19T00:00:00"/>
    <s v="Develop office approach son."/>
    <x v="807"/>
    <s v="Shopping"/>
    <x v="4"/>
    <s v="1226.5"/>
    <x v="0"/>
    <x v="8"/>
    <x v="2"/>
  </r>
  <r>
    <d v="2022-09-21T00:00:00"/>
    <s v="Least ready activity decision ok."/>
    <x v="808"/>
    <s v="Utilities"/>
    <x v="1"/>
    <s v="1629.34"/>
    <x v="0"/>
    <x v="8"/>
    <x v="2"/>
  </r>
  <r>
    <d v="2022-09-23T00:00:00"/>
    <s v="Party employee nature down."/>
    <x v="809"/>
    <s v="Travel"/>
    <x v="9"/>
    <s v="1838.18"/>
    <x v="0"/>
    <x v="8"/>
    <x v="2"/>
  </r>
  <r>
    <d v="2022-09-26T00:00:00"/>
    <s v="Evidence conference capital office."/>
    <x v="810"/>
    <s v="Rent"/>
    <x v="2"/>
    <s v="374.26"/>
    <x v="0"/>
    <x v="8"/>
    <x v="2"/>
  </r>
  <r>
    <d v="2022-09-26T00:00:00"/>
    <s v="Gas contain interest industry sell."/>
    <x v="811"/>
    <s v="Utilities"/>
    <x v="1"/>
    <s v="633.24"/>
    <x v="0"/>
    <x v="8"/>
    <x v="2"/>
  </r>
  <r>
    <d v="2022-09-28T00:00:00"/>
    <s v="Result sound."/>
    <x v="812"/>
    <s v="Shopping"/>
    <x v="4"/>
    <s v="842.3"/>
    <x v="0"/>
    <x v="8"/>
    <x v="2"/>
  </r>
  <r>
    <d v="2022-09-29T00:00:00"/>
    <s v="Computer matter."/>
    <x v="813"/>
    <s v="Investment"/>
    <x v="3"/>
    <s v="1866.0"/>
    <x v="1"/>
    <x v="8"/>
    <x v="2"/>
  </r>
  <r>
    <d v="2022-09-29T00:00:00"/>
    <s v="Task cultural son school."/>
    <x v="814"/>
    <s v="Other"/>
    <x v="5"/>
    <s v="3965.0"/>
    <x v="1"/>
    <x v="8"/>
    <x v="2"/>
  </r>
  <r>
    <d v="2022-09-30T00:00:00"/>
    <s v="Result size feel no nothing."/>
    <x v="815"/>
    <s v="Utilities"/>
    <x v="1"/>
    <s v="382.33"/>
    <x v="0"/>
    <x v="8"/>
    <x v="2"/>
  </r>
  <r>
    <d v="2022-10-01T00:00:00"/>
    <s v="Real art."/>
    <x v="816"/>
    <s v="Food &amp; Drink"/>
    <x v="0"/>
    <s v="1732.39"/>
    <x v="0"/>
    <x v="9"/>
    <x v="2"/>
  </r>
  <r>
    <d v="2022-10-02T00:00:00"/>
    <s v="Stuff benefit seat employee."/>
    <x v="817"/>
    <s v="Salary"/>
    <x v="8"/>
    <s v="281.7"/>
    <x v="0"/>
    <x v="9"/>
    <x v="2"/>
  </r>
  <r>
    <d v="2022-10-03T00:00:00"/>
    <s v="Newspaper special general in go."/>
    <x v="818"/>
    <s v="Salary"/>
    <x v="8"/>
    <s v="824.18"/>
    <x v="0"/>
    <x v="9"/>
    <x v="2"/>
  </r>
  <r>
    <d v="2022-10-04T00:00:00"/>
    <s v="Simple land bad party."/>
    <x v="819"/>
    <s v="Investment"/>
    <x v="3"/>
    <s v="2306.0"/>
    <x v="1"/>
    <x v="9"/>
    <x v="2"/>
  </r>
  <r>
    <d v="2022-10-04T00:00:00"/>
    <s v="Office power company sister great."/>
    <x v="820"/>
    <s v="Salary"/>
    <x v="8"/>
    <s v="982.51"/>
    <x v="0"/>
    <x v="9"/>
    <x v="2"/>
  </r>
  <r>
    <d v="2022-10-05T00:00:00"/>
    <s v="What than political up instead."/>
    <x v="821"/>
    <s v="Travel"/>
    <x v="9"/>
    <s v="457.44"/>
    <x v="0"/>
    <x v="9"/>
    <x v="2"/>
  </r>
  <r>
    <d v="2022-10-08T00:00:00"/>
    <s v="Support author class direction."/>
    <x v="822"/>
    <s v="Salary"/>
    <x v="8"/>
    <s v="1135.64"/>
    <x v="0"/>
    <x v="9"/>
    <x v="2"/>
  </r>
  <r>
    <d v="2022-10-10T00:00:00"/>
    <s v="Report painting house."/>
    <x v="823"/>
    <s v="Salary"/>
    <x v="8"/>
    <s v="1103.96"/>
    <x v="0"/>
    <x v="9"/>
    <x v="2"/>
  </r>
  <r>
    <d v="2022-10-12T00:00:00"/>
    <s v="Road product wait."/>
    <x v="824"/>
    <s v="Health &amp; Fitness"/>
    <x v="7"/>
    <s v="1088.67"/>
    <x v="0"/>
    <x v="9"/>
    <x v="2"/>
  </r>
  <r>
    <d v="2022-10-12T00:00:00"/>
    <s v="Security minute late cold."/>
    <x v="825"/>
    <s v="Investment"/>
    <x v="3"/>
    <s v="2694.0"/>
    <x v="1"/>
    <x v="9"/>
    <x v="2"/>
  </r>
  <r>
    <d v="2022-10-13T00:00:00"/>
    <s v="Cold billion as."/>
    <x v="826"/>
    <s v="Salary"/>
    <x v="8"/>
    <s v="1097.24"/>
    <x v="0"/>
    <x v="9"/>
    <x v="2"/>
  </r>
  <r>
    <d v="2022-10-19T00:00:00"/>
    <s v="Pressure those."/>
    <x v="827"/>
    <s v="Entertainment"/>
    <x v="6"/>
    <s v="602.44"/>
    <x v="0"/>
    <x v="9"/>
    <x v="2"/>
  </r>
  <r>
    <d v="2022-10-19T00:00:00"/>
    <s v="Approach side model you billion."/>
    <x v="828"/>
    <s v="Rent"/>
    <x v="2"/>
    <s v="1474.62"/>
    <x v="0"/>
    <x v="9"/>
    <x v="2"/>
  </r>
  <r>
    <d v="2022-10-20T00:00:00"/>
    <s v="Easy exist phone."/>
    <x v="829"/>
    <s v="Salary"/>
    <x v="8"/>
    <s v="533.0"/>
    <x v="0"/>
    <x v="9"/>
    <x v="2"/>
  </r>
  <r>
    <d v="2022-10-21T00:00:00"/>
    <s v="Stuff agreement professional team foot."/>
    <x v="830"/>
    <s v="Rent"/>
    <x v="2"/>
    <s v="883.75"/>
    <x v="0"/>
    <x v="9"/>
    <x v="2"/>
  </r>
  <r>
    <d v="2022-10-22T00:00:00"/>
    <s v="Window music evening know."/>
    <x v="831"/>
    <s v="Entertainment"/>
    <x v="6"/>
    <s v="427.66"/>
    <x v="0"/>
    <x v="9"/>
    <x v="2"/>
  </r>
  <r>
    <d v="2022-10-23T00:00:00"/>
    <s v="Opportunity lead see."/>
    <x v="832"/>
    <s v="Health &amp; Fitness"/>
    <x v="7"/>
    <s v="1723.49"/>
    <x v="0"/>
    <x v="9"/>
    <x v="2"/>
  </r>
  <r>
    <d v="2022-10-25T00:00:00"/>
    <s v="Model police finally girl."/>
    <x v="833"/>
    <s v="Shopping"/>
    <x v="4"/>
    <s v="340.3"/>
    <x v="0"/>
    <x v="9"/>
    <x v="2"/>
  </r>
  <r>
    <d v="2022-10-28T00:00:00"/>
    <s v="Source kind hand."/>
    <x v="834"/>
    <s v="Investment"/>
    <x v="3"/>
    <s v="2195.0"/>
    <x v="1"/>
    <x v="9"/>
    <x v="2"/>
  </r>
  <r>
    <d v="2022-10-30T00:00:00"/>
    <s v="Field a spring."/>
    <x v="835"/>
    <s v="Health &amp; Fitness"/>
    <x v="7"/>
    <s v="1069.24"/>
    <x v="0"/>
    <x v="9"/>
    <x v="2"/>
  </r>
  <r>
    <d v="2022-10-31T00:00:00"/>
    <s v="Expert movement reach man."/>
    <x v="836"/>
    <s v="Utilities"/>
    <x v="1"/>
    <s v="654.07"/>
    <x v="0"/>
    <x v="9"/>
    <x v="2"/>
  </r>
  <r>
    <d v="2022-11-03T00:00:00"/>
    <s v="Across involve fall."/>
    <x v="837"/>
    <s v="Travel"/>
    <x v="9"/>
    <s v="1149.74"/>
    <x v="0"/>
    <x v="10"/>
    <x v="2"/>
  </r>
  <r>
    <d v="2022-11-04T00:00:00"/>
    <s v="Nature country."/>
    <x v="838"/>
    <s v="Rent"/>
    <x v="2"/>
    <s v="279.82"/>
    <x v="0"/>
    <x v="10"/>
    <x v="2"/>
  </r>
  <r>
    <d v="2022-11-05T00:00:00"/>
    <s v="House clear say hope."/>
    <x v="839"/>
    <s v="Shopping"/>
    <x v="4"/>
    <s v="1838.35"/>
    <x v="0"/>
    <x v="10"/>
    <x v="2"/>
  </r>
  <r>
    <d v="2022-11-07T00:00:00"/>
    <s v="Possible mother especially."/>
    <x v="840"/>
    <s v="Investment"/>
    <x v="3"/>
    <s v="3138.0"/>
    <x v="1"/>
    <x v="10"/>
    <x v="2"/>
  </r>
  <r>
    <d v="2022-11-07T00:00:00"/>
    <s v="Enjoy instead dream."/>
    <x v="841"/>
    <s v="Utilities"/>
    <x v="1"/>
    <s v="1405.84"/>
    <x v="0"/>
    <x v="10"/>
    <x v="2"/>
  </r>
  <r>
    <d v="2022-11-09T00:00:00"/>
    <s v="Consumer face."/>
    <x v="842"/>
    <s v="Shopping"/>
    <x v="4"/>
    <s v="984.02"/>
    <x v="0"/>
    <x v="10"/>
    <x v="2"/>
  </r>
  <r>
    <d v="2022-11-10T00:00:00"/>
    <s v="Laugh red man fly charge."/>
    <x v="843"/>
    <s v="Travel"/>
    <x v="9"/>
    <s v="1259.35"/>
    <x v="0"/>
    <x v="10"/>
    <x v="2"/>
  </r>
  <r>
    <d v="2022-11-13T00:00:00"/>
    <s v="Control bill."/>
    <x v="844"/>
    <s v="Rent"/>
    <x v="2"/>
    <s v="1270.92"/>
    <x v="0"/>
    <x v="10"/>
    <x v="2"/>
  </r>
  <r>
    <d v="2022-11-14T00:00:00"/>
    <s v="Management game."/>
    <x v="845"/>
    <s v="Health &amp; Fitness"/>
    <x v="7"/>
    <s v="914.84"/>
    <x v="0"/>
    <x v="10"/>
    <x v="2"/>
  </r>
  <r>
    <d v="2022-11-14T00:00:00"/>
    <s v="Resource road do."/>
    <x v="846"/>
    <s v="Rent"/>
    <x v="2"/>
    <s v="811.67"/>
    <x v="0"/>
    <x v="10"/>
    <x v="2"/>
  </r>
  <r>
    <d v="2022-11-15T00:00:00"/>
    <s v="Your less social form."/>
    <x v="847"/>
    <s v="Food &amp; Drink"/>
    <x v="0"/>
    <s v="1739.13"/>
    <x v="0"/>
    <x v="10"/>
    <x v="2"/>
  </r>
  <r>
    <d v="2022-11-17T00:00:00"/>
    <s v="Consider time economic high."/>
    <x v="848"/>
    <s v="Health &amp; Fitness"/>
    <x v="7"/>
    <s v="1701.71"/>
    <x v="0"/>
    <x v="10"/>
    <x v="2"/>
  </r>
  <r>
    <d v="2022-11-17T00:00:00"/>
    <s v="Entire hotel."/>
    <x v="849"/>
    <s v="Rent"/>
    <x v="2"/>
    <s v="1464.55"/>
    <x v="0"/>
    <x v="10"/>
    <x v="2"/>
  </r>
  <r>
    <d v="2022-11-18T00:00:00"/>
    <s v="Window research his."/>
    <x v="850"/>
    <s v="Shopping"/>
    <x v="4"/>
    <s v="443.48"/>
    <x v="0"/>
    <x v="10"/>
    <x v="2"/>
  </r>
  <r>
    <d v="2022-11-19T00:00:00"/>
    <s v="Scene almost leave."/>
    <x v="851"/>
    <s v="Entertainment"/>
    <x v="6"/>
    <s v="994.48"/>
    <x v="0"/>
    <x v="10"/>
    <x v="2"/>
  </r>
  <r>
    <d v="2022-11-21T00:00:00"/>
    <s v="Program decade home which view."/>
    <x v="852"/>
    <s v="Travel"/>
    <x v="9"/>
    <s v="682.13"/>
    <x v="0"/>
    <x v="10"/>
    <x v="2"/>
  </r>
  <r>
    <d v="2022-11-22T00:00:00"/>
    <s v="Rock seat near business loss."/>
    <x v="853"/>
    <s v="Salary"/>
    <x v="8"/>
    <s v="1578.72"/>
    <x v="0"/>
    <x v="10"/>
    <x v="2"/>
  </r>
  <r>
    <d v="2022-11-26T00:00:00"/>
    <s v="Growth appear project."/>
    <x v="854"/>
    <s v="Food &amp; Drink"/>
    <x v="0"/>
    <s v="101.43"/>
    <x v="0"/>
    <x v="10"/>
    <x v="2"/>
  </r>
  <r>
    <d v="2022-11-26T00:00:00"/>
    <s v="Plan foot cold."/>
    <x v="855"/>
    <s v="Salary"/>
    <x v="8"/>
    <s v="42.4"/>
    <x v="0"/>
    <x v="10"/>
    <x v="2"/>
  </r>
  <r>
    <d v="2022-11-28T00:00:00"/>
    <s v="Choice side eat matter rather."/>
    <x v="856"/>
    <s v="Other"/>
    <x v="5"/>
    <s v="2157.0"/>
    <x v="1"/>
    <x v="10"/>
    <x v="2"/>
  </r>
  <r>
    <d v="2022-11-28T00:00:00"/>
    <s v="Build smile across among situation."/>
    <x v="857"/>
    <s v="Utilities"/>
    <x v="1"/>
    <s v="888.16"/>
    <x v="0"/>
    <x v="10"/>
    <x v="2"/>
  </r>
  <r>
    <d v="2022-12-01T00:00:00"/>
    <s v="Art green child movie blue."/>
    <x v="858"/>
    <s v="Utilities"/>
    <x v="1"/>
    <s v="1765.47"/>
    <x v="0"/>
    <x v="11"/>
    <x v="2"/>
  </r>
  <r>
    <d v="2022-12-03T00:00:00"/>
    <s v="First next popular."/>
    <x v="859"/>
    <s v="Travel"/>
    <x v="9"/>
    <s v="195.75"/>
    <x v="0"/>
    <x v="11"/>
    <x v="2"/>
  </r>
  <r>
    <d v="2022-12-04T00:00:00"/>
    <s v="Run again help right."/>
    <x v="860"/>
    <s v="Rent"/>
    <x v="2"/>
    <s v="749.97"/>
    <x v="0"/>
    <x v="11"/>
    <x v="2"/>
  </r>
  <r>
    <d v="2022-12-05T00:00:00"/>
    <s v="Recent couple cost girl run."/>
    <x v="861"/>
    <s v="Entertainment"/>
    <x v="6"/>
    <s v="864.17"/>
    <x v="0"/>
    <x v="11"/>
    <x v="2"/>
  </r>
  <r>
    <d v="2022-12-05T00:00:00"/>
    <s v="Magazine join."/>
    <x v="862"/>
    <s v="Utilities"/>
    <x v="1"/>
    <s v="113.06"/>
    <x v="0"/>
    <x v="11"/>
    <x v="2"/>
  </r>
  <r>
    <d v="2022-12-07T00:00:00"/>
    <s v="Trial never attention choice fast."/>
    <x v="863"/>
    <s v="Investment"/>
    <x v="3"/>
    <s v="508.0"/>
    <x v="1"/>
    <x v="11"/>
    <x v="2"/>
  </r>
  <r>
    <d v="2022-12-12T00:00:00"/>
    <s v="Happen a point here control."/>
    <x v="864"/>
    <s v="Rent"/>
    <x v="2"/>
    <s v="274.07"/>
    <x v="0"/>
    <x v="11"/>
    <x v="2"/>
  </r>
  <r>
    <d v="2022-12-13T00:00:00"/>
    <s v="Task simply draw return probably."/>
    <x v="865"/>
    <s v="Salary"/>
    <x v="8"/>
    <s v="28.48"/>
    <x v="0"/>
    <x v="11"/>
    <x v="2"/>
  </r>
  <r>
    <d v="2022-12-15T00:00:00"/>
    <s v="Couple raise she child."/>
    <x v="866"/>
    <s v="Rent"/>
    <x v="2"/>
    <s v="1976.43"/>
    <x v="0"/>
    <x v="11"/>
    <x v="2"/>
  </r>
  <r>
    <d v="2022-12-16T00:00:00"/>
    <s v="Important focus benefit probably."/>
    <x v="867"/>
    <s v="Utilities"/>
    <x v="1"/>
    <s v="960.62"/>
    <x v="0"/>
    <x v="11"/>
    <x v="2"/>
  </r>
  <r>
    <d v="2022-12-18T00:00:00"/>
    <s v="Condition all blood."/>
    <x v="868"/>
    <s v="Rent"/>
    <x v="2"/>
    <s v="1464.22"/>
    <x v="0"/>
    <x v="11"/>
    <x v="2"/>
  </r>
  <r>
    <d v="2022-12-22T00:00:00"/>
    <s v="All politics."/>
    <x v="869"/>
    <s v="Other"/>
    <x v="5"/>
    <s v="3511.0"/>
    <x v="1"/>
    <x v="11"/>
    <x v="2"/>
  </r>
  <r>
    <d v="2022-12-28T00:00:00"/>
    <s v="Moment red eight hand."/>
    <x v="870"/>
    <s v="Utilities"/>
    <x v="1"/>
    <s v="771.61"/>
    <x v="0"/>
    <x v="11"/>
    <x v="2"/>
  </r>
  <r>
    <d v="2022-12-30T00:00:00"/>
    <s v="Us decade."/>
    <x v="871"/>
    <s v="Utilities"/>
    <x v="1"/>
    <s v="1286.74"/>
    <x v="0"/>
    <x v="11"/>
    <x v="2"/>
  </r>
  <r>
    <d v="2022-12-31T00:00:00"/>
    <s v="Life police."/>
    <x v="872"/>
    <s v="Rent"/>
    <x v="2"/>
    <s v="1065.71"/>
    <x v="0"/>
    <x v="11"/>
    <x v="2"/>
  </r>
  <r>
    <d v="2023-01-03T00:00:00"/>
    <s v="Sea three state some around."/>
    <x v="873"/>
    <s v="Investment"/>
    <x v="3"/>
    <s v="4105.0"/>
    <x v="1"/>
    <x v="0"/>
    <x v="3"/>
  </r>
  <r>
    <d v="2023-01-04T00:00:00"/>
    <s v="American audience fight war whether."/>
    <x v="874"/>
    <s v="Entertainment"/>
    <x v="6"/>
    <s v="1259.88"/>
    <x v="0"/>
    <x v="0"/>
    <x v="3"/>
  </r>
  <r>
    <d v="2023-01-04T00:00:00"/>
    <s v="Rise mother."/>
    <x v="875"/>
    <s v="Other"/>
    <x v="5"/>
    <s v="4124.0"/>
    <x v="1"/>
    <x v="0"/>
    <x v="3"/>
  </r>
  <r>
    <d v="2023-01-06T00:00:00"/>
    <s v="Moment eat personal."/>
    <x v="876"/>
    <s v="Rent"/>
    <x v="2"/>
    <s v="1794.22"/>
    <x v="0"/>
    <x v="0"/>
    <x v="3"/>
  </r>
  <r>
    <d v="2023-01-09T00:00:00"/>
    <s v="See indeed black police group."/>
    <x v="877"/>
    <s v="Investment"/>
    <x v="3"/>
    <s v="3645.0"/>
    <x v="1"/>
    <x v="0"/>
    <x v="3"/>
  </r>
  <r>
    <d v="2023-01-10T00:00:00"/>
    <s v="Third coach congress husband."/>
    <x v="878"/>
    <s v="Shopping"/>
    <x v="4"/>
    <s v="635.86"/>
    <x v="0"/>
    <x v="0"/>
    <x v="3"/>
  </r>
  <r>
    <d v="2023-01-11T00:00:00"/>
    <s v="Move outside value."/>
    <x v="879"/>
    <s v="Other"/>
    <x v="5"/>
    <s v="1190.0"/>
    <x v="1"/>
    <x v="0"/>
    <x v="3"/>
  </r>
  <r>
    <d v="2023-01-13T00:00:00"/>
    <s v="Yard foot he share issue."/>
    <x v="880"/>
    <s v="Travel"/>
    <x v="9"/>
    <s v="1560.15"/>
    <x v="0"/>
    <x v="0"/>
    <x v="3"/>
  </r>
  <r>
    <d v="2023-01-15T00:00:00"/>
    <s v="Drive nation heart nearly season."/>
    <x v="881"/>
    <s v="Travel"/>
    <x v="9"/>
    <s v="418.84"/>
    <x v="0"/>
    <x v="0"/>
    <x v="3"/>
  </r>
  <r>
    <d v="2023-01-16T00:00:00"/>
    <s v="Language however risk work."/>
    <x v="882"/>
    <s v="Entertainment"/>
    <x v="6"/>
    <s v="1498.21"/>
    <x v="0"/>
    <x v="0"/>
    <x v="3"/>
  </r>
  <r>
    <d v="2023-01-17T00:00:00"/>
    <s v="Career three according worker democrat."/>
    <x v="883"/>
    <s v="Food &amp; Drink"/>
    <x v="0"/>
    <s v="1569.77"/>
    <x v="0"/>
    <x v="0"/>
    <x v="3"/>
  </r>
  <r>
    <d v="2023-01-18T00:00:00"/>
    <s v="Sign wall."/>
    <x v="884"/>
    <s v="Entertainment"/>
    <x v="6"/>
    <s v="994.83"/>
    <x v="0"/>
    <x v="0"/>
    <x v="3"/>
  </r>
  <r>
    <d v="2023-01-19T00:00:00"/>
    <s v="Enter threat economic."/>
    <x v="885"/>
    <s v="Food &amp; Drink"/>
    <x v="0"/>
    <s v="1973.9"/>
    <x v="0"/>
    <x v="0"/>
    <x v="3"/>
  </r>
  <r>
    <d v="2023-01-19T00:00:00"/>
    <s v="Memory number occur behind leave."/>
    <x v="886"/>
    <s v="Other"/>
    <x v="5"/>
    <s v="1081.0"/>
    <x v="1"/>
    <x v="0"/>
    <x v="3"/>
  </r>
  <r>
    <d v="2023-01-19T00:00:00"/>
    <s v="Organization feel."/>
    <x v="887"/>
    <s v="Salary"/>
    <x v="8"/>
    <s v="1909.36"/>
    <x v="0"/>
    <x v="0"/>
    <x v="3"/>
  </r>
  <r>
    <d v="2023-01-19T00:00:00"/>
    <s v="Society common stay ready."/>
    <x v="888"/>
    <s v="Shopping"/>
    <x v="4"/>
    <s v="737.17"/>
    <x v="0"/>
    <x v="0"/>
    <x v="3"/>
  </r>
  <r>
    <d v="2023-01-19T00:00:00"/>
    <s v="Begin hundred truth."/>
    <x v="889"/>
    <s v="Utilities"/>
    <x v="1"/>
    <s v="779.81"/>
    <x v="0"/>
    <x v="0"/>
    <x v="3"/>
  </r>
  <r>
    <d v="2023-01-20T00:00:00"/>
    <s v="Bad argue side girl."/>
    <x v="890"/>
    <s v="Food &amp; Drink"/>
    <x v="0"/>
    <s v="1178.85"/>
    <x v="0"/>
    <x v="0"/>
    <x v="3"/>
  </r>
  <r>
    <d v="2023-01-21T00:00:00"/>
    <s v="Us building side section."/>
    <x v="891"/>
    <s v="Investment"/>
    <x v="3"/>
    <s v="826.0"/>
    <x v="1"/>
    <x v="0"/>
    <x v="3"/>
  </r>
  <r>
    <d v="2023-01-21T00:00:00"/>
    <s v="Him fight american music change."/>
    <x v="892"/>
    <s v="Shopping"/>
    <x v="4"/>
    <s v="1018.16"/>
    <x v="0"/>
    <x v="0"/>
    <x v="3"/>
  </r>
  <r>
    <d v="2023-01-22T00:00:00"/>
    <s v="Check purpose young."/>
    <x v="893"/>
    <s v="Shopping"/>
    <x v="4"/>
    <s v="852.91"/>
    <x v="0"/>
    <x v="0"/>
    <x v="3"/>
  </r>
  <r>
    <d v="2023-01-23T00:00:00"/>
    <s v="Live seat."/>
    <x v="894"/>
    <s v="Entertainment"/>
    <x v="6"/>
    <s v="1948.88"/>
    <x v="0"/>
    <x v="0"/>
    <x v="3"/>
  </r>
  <r>
    <d v="2023-01-23T00:00:00"/>
    <s v="Energy huge its recently."/>
    <x v="895"/>
    <s v="Other"/>
    <x v="5"/>
    <s v="3700.0"/>
    <x v="1"/>
    <x v="0"/>
    <x v="3"/>
  </r>
  <r>
    <d v="2023-01-23T00:00:00"/>
    <s v="Offer bed it skill challenge."/>
    <x v="896"/>
    <s v="Utilities"/>
    <x v="1"/>
    <s v="562.16"/>
    <x v="0"/>
    <x v="0"/>
    <x v="3"/>
  </r>
  <r>
    <d v="2023-01-24T00:00:00"/>
    <s v="Drug entire involve."/>
    <x v="897"/>
    <s v="Entertainment"/>
    <x v="6"/>
    <s v="125.23"/>
    <x v="0"/>
    <x v="0"/>
    <x v="3"/>
  </r>
  <r>
    <d v="2023-01-24T00:00:00"/>
    <s v="Couple general pretty show."/>
    <x v="898"/>
    <s v="Food &amp; Drink"/>
    <x v="0"/>
    <s v="625.49"/>
    <x v="0"/>
    <x v="0"/>
    <x v="3"/>
  </r>
  <r>
    <d v="2023-01-24T00:00:00"/>
    <s v="Current health serious."/>
    <x v="899"/>
    <s v="Food &amp; Drink"/>
    <x v="0"/>
    <s v="336.03"/>
    <x v="0"/>
    <x v="0"/>
    <x v="3"/>
  </r>
  <r>
    <d v="2023-01-24T00:00:00"/>
    <s v="Both including."/>
    <x v="900"/>
    <s v="Other"/>
    <x v="5"/>
    <s v="1450.0"/>
    <x v="1"/>
    <x v="0"/>
    <x v="3"/>
  </r>
  <r>
    <d v="2023-01-24T00:00:00"/>
    <s v="Nice maintain present cultural."/>
    <x v="901"/>
    <s v="Rent"/>
    <x v="2"/>
    <s v="627.24"/>
    <x v="0"/>
    <x v="0"/>
    <x v="3"/>
  </r>
  <r>
    <d v="2023-01-24T00:00:00"/>
    <s v="Pattern wrong kind certainly."/>
    <x v="902"/>
    <s v="Utilities"/>
    <x v="1"/>
    <s v="247.69"/>
    <x v="0"/>
    <x v="0"/>
    <x v="3"/>
  </r>
  <r>
    <d v="2023-01-25T00:00:00"/>
    <s v="Science drug."/>
    <x v="903"/>
    <s v="Travel"/>
    <x v="9"/>
    <s v="342.26"/>
    <x v="0"/>
    <x v="0"/>
    <x v="3"/>
  </r>
  <r>
    <d v="2023-01-26T00:00:00"/>
    <s v="Add really born."/>
    <x v="904"/>
    <s v="Other"/>
    <x v="5"/>
    <s v="1467.0"/>
    <x v="1"/>
    <x v="0"/>
    <x v="3"/>
  </r>
  <r>
    <d v="2023-01-27T00:00:00"/>
    <s v="Age decade mrs data."/>
    <x v="905"/>
    <s v="Food &amp; Drink"/>
    <x v="0"/>
    <s v="676.67"/>
    <x v="0"/>
    <x v="0"/>
    <x v="3"/>
  </r>
  <r>
    <d v="2023-01-27T00:00:00"/>
    <s v="Nature performance yeah."/>
    <x v="906"/>
    <s v="Rent"/>
    <x v="2"/>
    <s v="533.27"/>
    <x v="0"/>
    <x v="0"/>
    <x v="3"/>
  </r>
  <r>
    <d v="2023-01-28T00:00:00"/>
    <s v="On professional analysis color."/>
    <x v="907"/>
    <s v="Rent"/>
    <x v="2"/>
    <s v="997.33"/>
    <x v="0"/>
    <x v="0"/>
    <x v="3"/>
  </r>
  <r>
    <d v="2023-01-29T00:00:00"/>
    <s v="Smile peace apply."/>
    <x v="908"/>
    <s v="Food &amp; Drink"/>
    <x v="0"/>
    <s v="1004.22"/>
    <x v="0"/>
    <x v="0"/>
    <x v="3"/>
  </r>
  <r>
    <d v="2023-01-29T00:00:00"/>
    <s v="Home even."/>
    <x v="909"/>
    <s v="Health &amp; Fitness"/>
    <x v="7"/>
    <s v="323.05"/>
    <x v="0"/>
    <x v="0"/>
    <x v="3"/>
  </r>
  <r>
    <d v="2023-01-30T00:00:00"/>
    <s v="Affect test."/>
    <x v="910"/>
    <s v="Rent"/>
    <x v="2"/>
    <s v="464.52"/>
    <x v="0"/>
    <x v="0"/>
    <x v="3"/>
  </r>
  <r>
    <d v="2023-01-31T00:00:00"/>
    <s v="Woman meet report."/>
    <x v="911"/>
    <s v="Food &amp; Drink"/>
    <x v="0"/>
    <s v="1718.79"/>
    <x v="0"/>
    <x v="0"/>
    <x v="3"/>
  </r>
  <r>
    <d v="2023-01-31T00:00:00"/>
    <s v="Term mother cost may."/>
    <x v="912"/>
    <s v="Investment"/>
    <x v="3"/>
    <s v="4364.0"/>
    <x v="1"/>
    <x v="0"/>
    <x v="3"/>
  </r>
  <r>
    <d v="2023-02-01T00:00:00"/>
    <s v="Unit again easy morning four."/>
    <x v="913"/>
    <s v="Utilities"/>
    <x v="1"/>
    <s v="366.13"/>
    <x v="0"/>
    <x v="1"/>
    <x v="3"/>
  </r>
  <r>
    <d v="2023-02-02T00:00:00"/>
    <s v="Adult range green."/>
    <x v="914"/>
    <s v="Food &amp; Drink"/>
    <x v="0"/>
    <s v="1110.2"/>
    <x v="0"/>
    <x v="1"/>
    <x v="3"/>
  </r>
  <r>
    <d v="2023-02-03T00:00:00"/>
    <s v="You without every."/>
    <x v="915"/>
    <s v="Shopping"/>
    <x v="4"/>
    <s v="456.79"/>
    <x v="0"/>
    <x v="1"/>
    <x v="3"/>
  </r>
  <r>
    <d v="2023-02-06T00:00:00"/>
    <s v="Election hit yourself wrong want."/>
    <x v="916"/>
    <s v="Health &amp; Fitness"/>
    <x v="7"/>
    <s v="549.8"/>
    <x v="0"/>
    <x v="1"/>
    <x v="3"/>
  </r>
  <r>
    <d v="2023-02-07T00:00:00"/>
    <s v="Minute question their rather."/>
    <x v="917"/>
    <s v="Food &amp; Drink"/>
    <x v="0"/>
    <s v="366.9"/>
    <x v="0"/>
    <x v="1"/>
    <x v="3"/>
  </r>
  <r>
    <d v="2023-02-07T00:00:00"/>
    <s v="Charge today prevent."/>
    <x v="918"/>
    <s v="Other"/>
    <x v="5"/>
    <s v="1478.0"/>
    <x v="1"/>
    <x v="1"/>
    <x v="3"/>
  </r>
  <r>
    <d v="2023-02-08T00:00:00"/>
    <s v="Of interview fine."/>
    <x v="919"/>
    <s v="Food &amp; Drink"/>
    <x v="0"/>
    <s v="1908.62"/>
    <x v="0"/>
    <x v="1"/>
    <x v="3"/>
  </r>
  <r>
    <d v="2023-02-08T00:00:00"/>
    <s v="My deal catch must."/>
    <x v="920"/>
    <s v="Other"/>
    <x v="5"/>
    <s v="2812.0"/>
    <x v="1"/>
    <x v="1"/>
    <x v="3"/>
  </r>
  <r>
    <d v="2023-02-09T00:00:00"/>
    <s v="Finally relate model."/>
    <x v="921"/>
    <s v="Travel"/>
    <x v="9"/>
    <s v="661.33"/>
    <x v="0"/>
    <x v="1"/>
    <x v="3"/>
  </r>
  <r>
    <d v="2023-02-12T00:00:00"/>
    <s v="Yet wish certain usually."/>
    <x v="922"/>
    <s v="Food &amp; Drink"/>
    <x v="0"/>
    <s v="744.15"/>
    <x v="0"/>
    <x v="1"/>
    <x v="3"/>
  </r>
  <r>
    <d v="2023-02-13T00:00:00"/>
    <s v="Attack mouth rest contain."/>
    <x v="923"/>
    <s v="Travel"/>
    <x v="9"/>
    <s v="1481.76"/>
    <x v="0"/>
    <x v="1"/>
    <x v="3"/>
  </r>
  <r>
    <d v="2023-02-15T00:00:00"/>
    <s v="She they."/>
    <x v="924"/>
    <s v="Health &amp; Fitness"/>
    <x v="7"/>
    <s v="1187.46"/>
    <x v="0"/>
    <x v="1"/>
    <x v="3"/>
  </r>
  <r>
    <d v="2023-02-16T00:00:00"/>
    <s v="Field seat start pm."/>
    <x v="925"/>
    <s v="Entertainment"/>
    <x v="6"/>
    <s v="1467.6"/>
    <x v="0"/>
    <x v="1"/>
    <x v="3"/>
  </r>
  <r>
    <d v="2023-02-18T00:00:00"/>
    <s v="Single blood continue."/>
    <x v="926"/>
    <s v="Entertainment"/>
    <x v="6"/>
    <s v="309.63"/>
    <x v="0"/>
    <x v="1"/>
    <x v="3"/>
  </r>
  <r>
    <d v="2023-02-20T00:00:00"/>
    <s v="Note discuss discussion reach grow."/>
    <x v="927"/>
    <s v="Food &amp; Drink"/>
    <x v="0"/>
    <s v="473.67"/>
    <x v="0"/>
    <x v="1"/>
    <x v="3"/>
  </r>
  <r>
    <d v="2023-02-20T00:00:00"/>
    <s v="Maybe painting republican."/>
    <x v="928"/>
    <s v="Food &amp; Drink"/>
    <x v="0"/>
    <s v="1902.47"/>
    <x v="0"/>
    <x v="1"/>
    <x v="3"/>
  </r>
  <r>
    <d v="2023-02-22T00:00:00"/>
    <s v="Allow share address."/>
    <x v="929"/>
    <s v="Investment"/>
    <x v="3"/>
    <s v="3939.0"/>
    <x v="1"/>
    <x v="1"/>
    <x v="3"/>
  </r>
  <r>
    <d v="2023-02-22T00:00:00"/>
    <s v="System man case."/>
    <x v="930"/>
    <s v="Other"/>
    <x v="5"/>
    <s v="3019.0"/>
    <x v="1"/>
    <x v="1"/>
    <x v="3"/>
  </r>
  <r>
    <d v="2023-02-24T00:00:00"/>
    <s v="Development provide dark daughter."/>
    <x v="931"/>
    <s v="Food &amp; Drink"/>
    <x v="0"/>
    <s v="1945.39"/>
    <x v="0"/>
    <x v="1"/>
    <x v="3"/>
  </r>
  <r>
    <d v="2023-02-26T00:00:00"/>
    <s v="Particularly score order modern."/>
    <x v="932"/>
    <s v="Health &amp; Fitness"/>
    <x v="7"/>
    <s v="922.33"/>
    <x v="0"/>
    <x v="1"/>
    <x v="3"/>
  </r>
  <r>
    <d v="2023-02-26T00:00:00"/>
    <s v="If among save herself."/>
    <x v="933"/>
    <s v="Investment"/>
    <x v="3"/>
    <s v="4757.0"/>
    <x v="1"/>
    <x v="1"/>
    <x v="3"/>
  </r>
  <r>
    <d v="2023-02-26T00:00:00"/>
    <s v="Term majority foot leader."/>
    <x v="934"/>
    <s v="Other"/>
    <x v="5"/>
    <s v="1262.0"/>
    <x v="1"/>
    <x v="1"/>
    <x v="3"/>
  </r>
  <r>
    <d v="2023-02-28T00:00:00"/>
    <s v="Body lead there there early."/>
    <x v="935"/>
    <s v="Rent"/>
    <x v="2"/>
    <s v="1015.8"/>
    <x v="0"/>
    <x v="1"/>
    <x v="3"/>
  </r>
  <r>
    <d v="2023-03-03T00:00:00"/>
    <s v="Worker always hold share."/>
    <x v="936"/>
    <s v="Shopping"/>
    <x v="4"/>
    <s v="158.91"/>
    <x v="0"/>
    <x v="2"/>
    <x v="3"/>
  </r>
  <r>
    <d v="2023-03-03T00:00:00"/>
    <s v="Fact huge fight."/>
    <x v="937"/>
    <s v="Shopping"/>
    <x v="4"/>
    <s v="1328.26"/>
    <x v="0"/>
    <x v="2"/>
    <x v="3"/>
  </r>
  <r>
    <d v="2023-03-05T00:00:00"/>
    <s v="Career including late condition opportunity."/>
    <x v="938"/>
    <s v="Health &amp; Fitness"/>
    <x v="7"/>
    <s v="910.99"/>
    <x v="0"/>
    <x v="2"/>
    <x v="3"/>
  </r>
  <r>
    <d v="2023-03-05T00:00:00"/>
    <s v="Coach family try ready."/>
    <x v="939"/>
    <s v="Other"/>
    <x v="5"/>
    <s v="2638.0"/>
    <x v="1"/>
    <x v="2"/>
    <x v="3"/>
  </r>
  <r>
    <d v="2023-03-05T00:00:00"/>
    <s v="Stop later reveal both."/>
    <x v="940"/>
    <s v="Shopping"/>
    <x v="4"/>
    <s v="1404.44"/>
    <x v="0"/>
    <x v="2"/>
    <x v="3"/>
  </r>
  <r>
    <d v="2023-03-07T00:00:00"/>
    <s v="Bed food possible represent."/>
    <x v="941"/>
    <s v="Entertainment"/>
    <x v="6"/>
    <s v="280.86"/>
    <x v="0"/>
    <x v="2"/>
    <x v="3"/>
  </r>
  <r>
    <d v="2023-03-08T00:00:00"/>
    <s v="Analysis color friend the."/>
    <x v="942"/>
    <s v="Health &amp; Fitness"/>
    <x v="7"/>
    <s v="1929.62"/>
    <x v="0"/>
    <x v="2"/>
    <x v="3"/>
  </r>
  <r>
    <d v="2023-03-08T00:00:00"/>
    <s v="Religious risk window partner civil."/>
    <x v="943"/>
    <s v="Other"/>
    <x v="5"/>
    <s v="3072.0"/>
    <x v="1"/>
    <x v="2"/>
    <x v="3"/>
  </r>
  <r>
    <d v="2023-03-08T00:00:00"/>
    <s v="Before relationship plant."/>
    <x v="944"/>
    <s v="Rent"/>
    <x v="2"/>
    <s v="319.27"/>
    <x v="0"/>
    <x v="2"/>
    <x v="3"/>
  </r>
  <r>
    <d v="2023-03-08T00:00:00"/>
    <s v="Than condition republican."/>
    <x v="945"/>
    <s v="Travel"/>
    <x v="9"/>
    <s v="932.06"/>
    <x v="0"/>
    <x v="2"/>
    <x v="3"/>
  </r>
  <r>
    <d v="2023-03-10T00:00:00"/>
    <s v="Together whether about."/>
    <x v="946"/>
    <s v="Food &amp; Drink"/>
    <x v="0"/>
    <s v="437.89"/>
    <x v="0"/>
    <x v="2"/>
    <x v="3"/>
  </r>
  <r>
    <d v="2023-03-10T00:00:00"/>
    <s v="Finally shoulder land."/>
    <x v="947"/>
    <s v="Rent"/>
    <x v="2"/>
    <s v="323.65"/>
    <x v="0"/>
    <x v="2"/>
    <x v="3"/>
  </r>
  <r>
    <d v="2023-03-12T00:00:00"/>
    <s v="Learn talk."/>
    <x v="948"/>
    <s v="Utilities"/>
    <x v="1"/>
    <s v="191.51"/>
    <x v="0"/>
    <x v="2"/>
    <x v="3"/>
  </r>
  <r>
    <d v="2023-03-13T00:00:00"/>
    <s v="Part management."/>
    <x v="949"/>
    <s v="Health &amp; Fitness"/>
    <x v="7"/>
    <s v="798.53"/>
    <x v="0"/>
    <x v="2"/>
    <x v="3"/>
  </r>
  <r>
    <d v="2023-03-13T00:00:00"/>
    <s v="Process law kind over according."/>
    <x v="950"/>
    <s v="Other"/>
    <x v="5"/>
    <s v="2631.0"/>
    <x v="1"/>
    <x v="2"/>
    <x v="3"/>
  </r>
  <r>
    <d v="2023-03-13T00:00:00"/>
    <s v="People newspaper stay."/>
    <x v="951"/>
    <s v="Utilities"/>
    <x v="1"/>
    <s v="71.85"/>
    <x v="0"/>
    <x v="2"/>
    <x v="3"/>
  </r>
  <r>
    <d v="2023-03-15T00:00:00"/>
    <s v="Study fear turn any indicate."/>
    <x v="952"/>
    <s v="Rent"/>
    <x v="2"/>
    <s v="929.47"/>
    <x v="0"/>
    <x v="2"/>
    <x v="3"/>
  </r>
  <r>
    <d v="2023-03-15T00:00:00"/>
    <s v="Challenge president already."/>
    <x v="953"/>
    <s v="Salary"/>
    <x v="8"/>
    <s v="1116.35"/>
    <x v="0"/>
    <x v="2"/>
    <x v="3"/>
  </r>
  <r>
    <d v="2023-03-16T00:00:00"/>
    <s v="Concern lay often use behavior."/>
    <x v="954"/>
    <s v="Investment"/>
    <x v="3"/>
    <s v="1570.0"/>
    <x v="1"/>
    <x v="2"/>
    <x v="3"/>
  </r>
  <r>
    <d v="2023-03-16T00:00:00"/>
    <s v="Public particularly reality."/>
    <x v="955"/>
    <s v="Utilities"/>
    <x v="1"/>
    <s v="251.69"/>
    <x v="0"/>
    <x v="2"/>
    <x v="3"/>
  </r>
  <r>
    <d v="2023-03-18T00:00:00"/>
    <s v="Happy her attack interview."/>
    <x v="956"/>
    <s v="Other"/>
    <x v="5"/>
    <s v="3549.0"/>
    <x v="1"/>
    <x v="2"/>
    <x v="3"/>
  </r>
  <r>
    <d v="2023-03-18T00:00:00"/>
    <s v="Fall care."/>
    <x v="957"/>
    <s v="Rent"/>
    <x v="2"/>
    <s v="1168.82"/>
    <x v="0"/>
    <x v="2"/>
    <x v="3"/>
  </r>
  <r>
    <d v="2023-03-21T00:00:00"/>
    <s v="Money modern receive partner."/>
    <x v="958"/>
    <s v="Rent"/>
    <x v="2"/>
    <s v="53.38"/>
    <x v="0"/>
    <x v="2"/>
    <x v="3"/>
  </r>
  <r>
    <d v="2023-03-22T00:00:00"/>
    <s v="Role pick would low read."/>
    <x v="959"/>
    <s v="Other"/>
    <x v="5"/>
    <s v="1555.0"/>
    <x v="1"/>
    <x v="2"/>
    <x v="3"/>
  </r>
  <r>
    <d v="2023-03-23T00:00:00"/>
    <s v="Participant first moment yet."/>
    <x v="960"/>
    <s v="Other"/>
    <x v="5"/>
    <s v="1503.0"/>
    <x v="1"/>
    <x v="2"/>
    <x v="3"/>
  </r>
  <r>
    <d v="2023-03-23T00:00:00"/>
    <s v="Pass market role."/>
    <x v="961"/>
    <s v="Other"/>
    <x v="5"/>
    <s v="914.0"/>
    <x v="1"/>
    <x v="2"/>
    <x v="3"/>
  </r>
  <r>
    <d v="2023-03-23T00:00:00"/>
    <s v="Space this discussion fact."/>
    <x v="962"/>
    <s v="Other"/>
    <x v="5"/>
    <s v="3735.0"/>
    <x v="1"/>
    <x v="2"/>
    <x v="3"/>
  </r>
  <r>
    <d v="2023-03-24T00:00:00"/>
    <s v="Brother let."/>
    <x v="963"/>
    <s v="Shopping"/>
    <x v="4"/>
    <s v="1369.59"/>
    <x v="0"/>
    <x v="2"/>
    <x v="3"/>
  </r>
  <r>
    <d v="2023-03-27T00:00:00"/>
    <s v="Son yourself increase."/>
    <x v="964"/>
    <s v="Investment"/>
    <x v="3"/>
    <s v="2033.0"/>
    <x v="1"/>
    <x v="2"/>
    <x v="3"/>
  </r>
  <r>
    <d v="2023-03-29T00:00:00"/>
    <s v="Night point action cut."/>
    <x v="965"/>
    <s v="Salary"/>
    <x v="8"/>
    <s v="1768.01"/>
    <x v="0"/>
    <x v="2"/>
    <x v="3"/>
  </r>
  <r>
    <d v="2023-03-30T00:00:00"/>
    <s v="So film media."/>
    <x v="966"/>
    <s v="Investment"/>
    <x v="3"/>
    <s v="2917.0"/>
    <x v="1"/>
    <x v="2"/>
    <x v="3"/>
  </r>
  <r>
    <d v="2023-03-31T00:00:00"/>
    <s v="Box four."/>
    <x v="967"/>
    <s v="Salary"/>
    <x v="8"/>
    <s v="131.35"/>
    <x v="0"/>
    <x v="2"/>
    <x v="3"/>
  </r>
  <r>
    <d v="2023-03-31T00:00:00"/>
    <s v="Pattern ahead compare form full."/>
    <x v="968"/>
    <s v="Utilities"/>
    <x v="1"/>
    <s v="844.28"/>
    <x v="0"/>
    <x v="2"/>
    <x v="3"/>
  </r>
  <r>
    <d v="2023-04-01T00:00:00"/>
    <s v="Something population loss physical."/>
    <x v="969"/>
    <s v="Entertainment"/>
    <x v="6"/>
    <s v="1265.2"/>
    <x v="0"/>
    <x v="3"/>
    <x v="3"/>
  </r>
  <r>
    <d v="2023-04-01T00:00:00"/>
    <s v="Leg sport until argue."/>
    <x v="970"/>
    <s v="Food &amp; Drink"/>
    <x v="0"/>
    <s v="1978.91"/>
    <x v="0"/>
    <x v="3"/>
    <x v="3"/>
  </r>
  <r>
    <d v="2023-04-04T00:00:00"/>
    <s v="North question new."/>
    <x v="971"/>
    <s v="Health &amp; Fitness"/>
    <x v="7"/>
    <s v="964.57"/>
    <x v="0"/>
    <x v="3"/>
    <x v="3"/>
  </r>
  <r>
    <d v="2023-04-07T00:00:00"/>
    <s v="Officer forward trouble."/>
    <x v="972"/>
    <s v="Health &amp; Fitness"/>
    <x v="7"/>
    <s v="1826.23"/>
    <x v="0"/>
    <x v="3"/>
    <x v="3"/>
  </r>
  <r>
    <d v="2023-04-08T00:00:00"/>
    <s v="Wide exactly."/>
    <x v="973"/>
    <s v="Shopping"/>
    <x v="4"/>
    <s v="548.17"/>
    <x v="0"/>
    <x v="3"/>
    <x v="3"/>
  </r>
  <r>
    <d v="2023-04-09T00:00:00"/>
    <s v="Worker phone success number."/>
    <x v="974"/>
    <s v="Investment"/>
    <x v="3"/>
    <s v="740.0"/>
    <x v="1"/>
    <x v="3"/>
    <x v="3"/>
  </r>
  <r>
    <d v="2023-04-10T00:00:00"/>
    <s v="Even beautiful."/>
    <x v="975"/>
    <s v="Health &amp; Fitness"/>
    <x v="7"/>
    <s v="1536.02"/>
    <x v="0"/>
    <x v="3"/>
    <x v="3"/>
  </r>
  <r>
    <d v="2023-04-10T00:00:00"/>
    <s v="Organization ten seem."/>
    <x v="976"/>
    <s v="Travel"/>
    <x v="9"/>
    <s v="126.6"/>
    <x v="0"/>
    <x v="3"/>
    <x v="3"/>
  </r>
  <r>
    <d v="2023-04-13T00:00:00"/>
    <s v="Later week democratic few."/>
    <x v="977"/>
    <s v="Utilities"/>
    <x v="1"/>
    <s v="209.27"/>
    <x v="0"/>
    <x v="3"/>
    <x v="3"/>
  </r>
  <r>
    <d v="2023-04-15T00:00:00"/>
    <s v="Size sing tree kitchen."/>
    <x v="978"/>
    <s v="Travel"/>
    <x v="9"/>
    <s v="1072.04"/>
    <x v="0"/>
    <x v="3"/>
    <x v="3"/>
  </r>
  <r>
    <d v="2023-04-16T00:00:00"/>
    <s v="Toward child future low."/>
    <x v="979"/>
    <s v="Food &amp; Drink"/>
    <x v="0"/>
    <s v="1530.46"/>
    <x v="0"/>
    <x v="3"/>
    <x v="3"/>
  </r>
  <r>
    <d v="2023-04-20T00:00:00"/>
    <s v="Simply century the."/>
    <x v="980"/>
    <s v="Shopping"/>
    <x v="4"/>
    <s v="716.06"/>
    <x v="0"/>
    <x v="3"/>
    <x v="3"/>
  </r>
  <r>
    <d v="2023-04-20T00:00:00"/>
    <s v="Day already hold."/>
    <x v="981"/>
    <s v="Utilities"/>
    <x v="1"/>
    <s v="360.44"/>
    <x v="0"/>
    <x v="3"/>
    <x v="3"/>
  </r>
  <r>
    <d v="2023-04-21T00:00:00"/>
    <s v="About usually."/>
    <x v="982"/>
    <s v="Health &amp; Fitness"/>
    <x v="7"/>
    <s v="1828.82"/>
    <x v="0"/>
    <x v="3"/>
    <x v="3"/>
  </r>
  <r>
    <d v="2023-04-22T00:00:00"/>
    <s v="Officer fine."/>
    <x v="983"/>
    <s v="Entertainment"/>
    <x v="6"/>
    <s v="1675.03"/>
    <x v="0"/>
    <x v="3"/>
    <x v="3"/>
  </r>
  <r>
    <d v="2023-04-22T00:00:00"/>
    <s v="Level animal minute probably."/>
    <x v="984"/>
    <s v="Other"/>
    <x v="5"/>
    <s v="1664.0"/>
    <x v="1"/>
    <x v="3"/>
    <x v="3"/>
  </r>
  <r>
    <d v="2023-04-23T00:00:00"/>
    <s v="Customer expert mother significant."/>
    <x v="985"/>
    <s v="Salary"/>
    <x v="8"/>
    <s v="1088.83"/>
    <x v="0"/>
    <x v="3"/>
    <x v="3"/>
  </r>
  <r>
    <d v="2023-04-24T00:00:00"/>
    <s v="Chance event address."/>
    <x v="986"/>
    <s v="Investment"/>
    <x v="3"/>
    <s v="1239.0"/>
    <x v="1"/>
    <x v="3"/>
    <x v="3"/>
  </r>
  <r>
    <d v="2023-04-25T00:00:00"/>
    <s v="Bill my near even wall."/>
    <x v="987"/>
    <s v="Investment"/>
    <x v="3"/>
    <s v="663.0"/>
    <x v="1"/>
    <x v="3"/>
    <x v="3"/>
  </r>
  <r>
    <d v="2023-05-02T00:00:00"/>
    <s v="Each author party full kitchen."/>
    <x v="988"/>
    <s v="Food &amp; Drink"/>
    <x v="0"/>
    <s v="670.15"/>
    <x v="0"/>
    <x v="4"/>
    <x v="3"/>
  </r>
  <r>
    <d v="2023-05-02T00:00:00"/>
    <s v="Likely push."/>
    <x v="989"/>
    <s v="Utilities"/>
    <x v="1"/>
    <s v="688.11"/>
    <x v="0"/>
    <x v="4"/>
    <x v="3"/>
  </r>
  <r>
    <d v="2023-05-03T00:00:00"/>
    <s v="Approach interview condition other."/>
    <x v="990"/>
    <s v="Other"/>
    <x v="5"/>
    <s v="987.0"/>
    <x v="1"/>
    <x v="4"/>
    <x v="3"/>
  </r>
  <r>
    <d v="2023-05-05T00:00:00"/>
    <s v="Nothing behavior sort recognize."/>
    <x v="991"/>
    <s v="Health &amp; Fitness"/>
    <x v="7"/>
    <s v="1921.51"/>
    <x v="0"/>
    <x v="4"/>
    <x v="3"/>
  </r>
  <r>
    <d v="2023-05-05T00:00:00"/>
    <s v="Green forward cup serve speak."/>
    <x v="992"/>
    <s v="Investment"/>
    <x v="3"/>
    <s v="1408.0"/>
    <x v="1"/>
    <x v="4"/>
    <x v="3"/>
  </r>
  <r>
    <d v="2023-05-05T00:00:00"/>
    <s v="Financial popular short like."/>
    <x v="993"/>
    <s v="Shopping"/>
    <x v="4"/>
    <s v="1176.17"/>
    <x v="0"/>
    <x v="4"/>
    <x v="3"/>
  </r>
  <r>
    <d v="2023-05-07T00:00:00"/>
    <s v="Technology pay tree."/>
    <x v="994"/>
    <s v="Health &amp; Fitness"/>
    <x v="7"/>
    <s v="281.54"/>
    <x v="0"/>
    <x v="4"/>
    <x v="3"/>
  </r>
  <r>
    <d v="2023-05-12T00:00:00"/>
    <s v="Record professor small."/>
    <x v="995"/>
    <s v="Other"/>
    <x v="5"/>
    <s v="4491.0"/>
    <x v="1"/>
    <x v="4"/>
    <x v="3"/>
  </r>
  <r>
    <d v="2023-05-14T00:00:00"/>
    <s v="Should page camera."/>
    <x v="996"/>
    <s v="Health &amp; Fitness"/>
    <x v="7"/>
    <s v="454.24"/>
    <x v="0"/>
    <x v="4"/>
    <x v="3"/>
  </r>
  <r>
    <d v="2023-05-14T00:00:00"/>
    <s v="Maintain assume both long."/>
    <x v="997"/>
    <s v="Utilities"/>
    <x v="1"/>
    <s v="1417.29"/>
    <x v="0"/>
    <x v="4"/>
    <x v="3"/>
  </r>
  <r>
    <d v="2023-05-14T00:00:00"/>
    <s v="Stage someone for power."/>
    <x v="998"/>
    <s v="Utilities"/>
    <x v="1"/>
    <s v="762.98"/>
    <x v="0"/>
    <x v="4"/>
    <x v="3"/>
  </r>
  <r>
    <d v="2023-05-15T00:00:00"/>
    <s v="At decade really issue."/>
    <x v="999"/>
    <s v="Shopping"/>
    <x v="4"/>
    <s v="1703.01"/>
    <x v="0"/>
    <x v="4"/>
    <x v="3"/>
  </r>
  <r>
    <d v="2023-05-15T00:00:00"/>
    <s v="Leave opportunity draw during city."/>
    <x v="1000"/>
    <s v="Travel"/>
    <x v="9"/>
    <s v="263.42"/>
    <x v="0"/>
    <x v="4"/>
    <x v="3"/>
  </r>
  <r>
    <d v="2023-05-16T00:00:00"/>
    <s v="Skin name door production back."/>
    <x v="1001"/>
    <s v="Food &amp; Drink"/>
    <x v="0"/>
    <s v="372.34"/>
    <x v="0"/>
    <x v="4"/>
    <x v="3"/>
  </r>
  <r>
    <d v="2023-05-17T00:00:00"/>
    <s v="Boy other foot best."/>
    <x v="1002"/>
    <s v="Entertainment"/>
    <x v="6"/>
    <s v="1282.9"/>
    <x v="0"/>
    <x v="4"/>
    <x v="3"/>
  </r>
  <r>
    <d v="2023-05-18T00:00:00"/>
    <s v="Final image our."/>
    <x v="1003"/>
    <s v="Other"/>
    <x v="5"/>
    <s v="1652.0"/>
    <x v="1"/>
    <x v="4"/>
    <x v="3"/>
  </r>
  <r>
    <d v="2023-05-19T00:00:00"/>
    <s v="Management produce bed stage."/>
    <x v="1004"/>
    <s v="Rent"/>
    <x v="2"/>
    <s v="483.61"/>
    <x v="0"/>
    <x v="4"/>
    <x v="3"/>
  </r>
  <r>
    <d v="2023-05-20T00:00:00"/>
    <s v="Some quickly truth view response."/>
    <x v="1005"/>
    <s v="Entertainment"/>
    <x v="6"/>
    <s v="1389.42"/>
    <x v="0"/>
    <x v="4"/>
    <x v="3"/>
  </r>
  <r>
    <d v="2023-05-20T00:00:00"/>
    <s v="Factor past language day theory."/>
    <x v="1006"/>
    <s v="Health &amp; Fitness"/>
    <x v="7"/>
    <s v="898.79"/>
    <x v="0"/>
    <x v="4"/>
    <x v="3"/>
  </r>
  <r>
    <d v="2023-05-20T00:00:00"/>
    <s v="Serious produce."/>
    <x v="1007"/>
    <s v="Utilities"/>
    <x v="1"/>
    <s v="1276.01"/>
    <x v="0"/>
    <x v="4"/>
    <x v="3"/>
  </r>
  <r>
    <d v="2023-05-22T00:00:00"/>
    <s v="Summer system artist too."/>
    <x v="1008"/>
    <s v="Other"/>
    <x v="5"/>
    <s v="3937.0"/>
    <x v="1"/>
    <x v="4"/>
    <x v="3"/>
  </r>
  <r>
    <d v="2023-05-22T00:00:00"/>
    <s v="Old particularly."/>
    <x v="1009"/>
    <s v="Rent"/>
    <x v="2"/>
    <s v="1443.62"/>
    <x v="0"/>
    <x v="4"/>
    <x v="3"/>
  </r>
  <r>
    <d v="2023-05-22T00:00:00"/>
    <s v="Reflect star."/>
    <x v="1010"/>
    <s v="Shopping"/>
    <x v="4"/>
    <s v="991.23"/>
    <x v="0"/>
    <x v="4"/>
    <x v="3"/>
  </r>
  <r>
    <d v="2023-05-25T00:00:00"/>
    <s v="Technology tend."/>
    <x v="1011"/>
    <s v="Shopping"/>
    <x v="4"/>
    <s v="211.84"/>
    <x v="0"/>
    <x v="4"/>
    <x v="3"/>
  </r>
  <r>
    <d v="2023-05-28T00:00:00"/>
    <s v="Reduce hour fish him."/>
    <x v="1012"/>
    <s v="Entertainment"/>
    <x v="6"/>
    <s v="333.69"/>
    <x v="0"/>
    <x v="4"/>
    <x v="3"/>
  </r>
  <r>
    <d v="2023-05-29T00:00:00"/>
    <s v="Nation production little could."/>
    <x v="1013"/>
    <s v="Investment"/>
    <x v="3"/>
    <s v="2915.0"/>
    <x v="1"/>
    <x v="4"/>
    <x v="3"/>
  </r>
  <r>
    <d v="2023-05-29T00:00:00"/>
    <s v="Style child young prove."/>
    <x v="1014"/>
    <s v="Other"/>
    <x v="5"/>
    <s v="1357.0"/>
    <x v="1"/>
    <x v="4"/>
    <x v="3"/>
  </r>
  <r>
    <d v="2023-05-30T00:00:00"/>
    <s v="Author administration."/>
    <x v="1015"/>
    <s v="Investment"/>
    <x v="3"/>
    <s v="3575.0"/>
    <x v="1"/>
    <x v="4"/>
    <x v="3"/>
  </r>
  <r>
    <d v="2023-06-02T00:00:00"/>
    <s v="Window career case south."/>
    <x v="1016"/>
    <s v="Investment"/>
    <x v="3"/>
    <s v="4981.0"/>
    <x v="1"/>
    <x v="5"/>
    <x v="3"/>
  </r>
  <r>
    <d v="2023-06-03T00:00:00"/>
    <s v="Us perhaps lawyer interest star."/>
    <x v="1017"/>
    <s v="Rent"/>
    <x v="2"/>
    <s v="682.52"/>
    <x v="0"/>
    <x v="5"/>
    <x v="3"/>
  </r>
  <r>
    <d v="2023-06-04T00:00:00"/>
    <s v="Difficult interesting account marriage."/>
    <x v="1018"/>
    <s v="Salary"/>
    <x v="8"/>
    <s v="1411.96"/>
    <x v="0"/>
    <x v="5"/>
    <x v="3"/>
  </r>
  <r>
    <d v="2023-06-05T00:00:00"/>
    <s v="Especially unit office almost."/>
    <x v="1019"/>
    <s v="Utilities"/>
    <x v="1"/>
    <s v="1218.56"/>
    <x v="0"/>
    <x v="5"/>
    <x v="3"/>
  </r>
  <r>
    <d v="2023-06-08T00:00:00"/>
    <s v="Let back three."/>
    <x v="1020"/>
    <s v="Entertainment"/>
    <x v="6"/>
    <s v="824.47"/>
    <x v="0"/>
    <x v="5"/>
    <x v="3"/>
  </r>
  <r>
    <d v="2023-06-08T00:00:00"/>
    <s v="Low happy oil which bag."/>
    <x v="1021"/>
    <s v="Food &amp; Drink"/>
    <x v="0"/>
    <s v="211.5"/>
    <x v="0"/>
    <x v="5"/>
    <x v="3"/>
  </r>
  <r>
    <d v="2023-06-09T00:00:00"/>
    <s v="Something fine apply gas sing."/>
    <x v="1022"/>
    <s v="Rent"/>
    <x v="2"/>
    <s v="108.77"/>
    <x v="0"/>
    <x v="5"/>
    <x v="3"/>
  </r>
  <r>
    <d v="2023-06-09T00:00:00"/>
    <s v="Line score whether."/>
    <x v="1023"/>
    <s v="Travel"/>
    <x v="9"/>
    <s v="1324.59"/>
    <x v="0"/>
    <x v="5"/>
    <x v="3"/>
  </r>
  <r>
    <d v="2023-06-10T00:00:00"/>
    <s v="Mention light safe inside."/>
    <x v="1024"/>
    <s v="Salary"/>
    <x v="8"/>
    <s v="315.64"/>
    <x v="0"/>
    <x v="5"/>
    <x v="3"/>
  </r>
  <r>
    <d v="2023-06-10T00:00:00"/>
    <s v="Cold reason our."/>
    <x v="1025"/>
    <s v="Shopping"/>
    <x v="4"/>
    <s v="184.38"/>
    <x v="0"/>
    <x v="5"/>
    <x v="3"/>
  </r>
  <r>
    <d v="2023-06-13T00:00:00"/>
    <s v="Employee picture official of prevent."/>
    <x v="1026"/>
    <s v="Salary"/>
    <x v="8"/>
    <s v="407.35"/>
    <x v="0"/>
    <x v="5"/>
    <x v="3"/>
  </r>
  <r>
    <d v="2023-06-15T00:00:00"/>
    <s v="Agree machine camera baby six."/>
    <x v="1027"/>
    <s v="Investment"/>
    <x v="3"/>
    <s v="2890.0"/>
    <x v="1"/>
    <x v="5"/>
    <x v="3"/>
  </r>
  <r>
    <d v="2023-06-16T00:00:00"/>
    <s v="Past every either."/>
    <x v="1028"/>
    <s v="Salary"/>
    <x v="8"/>
    <s v="1689.1"/>
    <x v="0"/>
    <x v="5"/>
    <x v="3"/>
  </r>
  <r>
    <d v="2023-06-16T00:00:00"/>
    <s v="Company option character land space."/>
    <x v="1029"/>
    <s v="Shopping"/>
    <x v="4"/>
    <s v="947.18"/>
    <x v="0"/>
    <x v="5"/>
    <x v="3"/>
  </r>
  <r>
    <d v="2023-06-17T00:00:00"/>
    <s v="Machine son television."/>
    <x v="1030"/>
    <s v="Travel"/>
    <x v="9"/>
    <s v="191.36"/>
    <x v="0"/>
    <x v="5"/>
    <x v="3"/>
  </r>
  <r>
    <d v="2023-06-17T00:00:00"/>
    <s v="Whose other."/>
    <x v="1031"/>
    <s v="Utilities"/>
    <x v="1"/>
    <s v="748.33"/>
    <x v="0"/>
    <x v="5"/>
    <x v="3"/>
  </r>
  <r>
    <d v="2023-06-19T00:00:00"/>
    <s v="Sell include himself produce."/>
    <x v="1032"/>
    <s v="Utilities"/>
    <x v="1"/>
    <s v="897.09"/>
    <x v="0"/>
    <x v="5"/>
    <x v="3"/>
  </r>
  <r>
    <d v="2023-06-21T00:00:00"/>
    <s v="Official success approach."/>
    <x v="1033"/>
    <s v="Salary"/>
    <x v="8"/>
    <s v="534.17"/>
    <x v="0"/>
    <x v="5"/>
    <x v="3"/>
  </r>
  <r>
    <d v="2023-06-22T00:00:00"/>
    <s v="Apply less."/>
    <x v="1034"/>
    <s v="Food &amp; Drink"/>
    <x v="0"/>
    <s v="310.75"/>
    <x v="0"/>
    <x v="5"/>
    <x v="3"/>
  </r>
  <r>
    <d v="2023-06-22T00:00:00"/>
    <s v="Live way two."/>
    <x v="1035"/>
    <s v="Rent"/>
    <x v="2"/>
    <s v="180.56"/>
    <x v="0"/>
    <x v="5"/>
    <x v="3"/>
  </r>
  <r>
    <d v="2023-06-23T00:00:00"/>
    <s v="Raise hope enjoy most."/>
    <x v="1036"/>
    <s v="Shopping"/>
    <x v="4"/>
    <s v="1941.7"/>
    <x v="0"/>
    <x v="5"/>
    <x v="3"/>
  </r>
  <r>
    <d v="2023-06-25T00:00:00"/>
    <s v="Eye something."/>
    <x v="1037"/>
    <s v="Food &amp; Drink"/>
    <x v="0"/>
    <s v="1683.19"/>
    <x v="0"/>
    <x v="5"/>
    <x v="3"/>
  </r>
  <r>
    <d v="2023-06-25T00:00:00"/>
    <s v="Particular present evening establish."/>
    <x v="1038"/>
    <s v="Salary"/>
    <x v="8"/>
    <s v="1149.7"/>
    <x v="0"/>
    <x v="5"/>
    <x v="3"/>
  </r>
  <r>
    <d v="2023-06-25T00:00:00"/>
    <s v="Which raise american truth."/>
    <x v="1039"/>
    <s v="Shopping"/>
    <x v="4"/>
    <s v="1931.6"/>
    <x v="0"/>
    <x v="5"/>
    <x v="3"/>
  </r>
  <r>
    <d v="2023-06-26T00:00:00"/>
    <s v="Pressure hospital significant."/>
    <x v="1040"/>
    <s v="Travel"/>
    <x v="9"/>
    <s v="167.12"/>
    <x v="0"/>
    <x v="5"/>
    <x v="3"/>
  </r>
  <r>
    <d v="2023-06-30T00:00:00"/>
    <s v="Side mind question year finish."/>
    <x v="1041"/>
    <s v="Food &amp; Drink"/>
    <x v="0"/>
    <s v="1009.18"/>
    <x v="0"/>
    <x v="5"/>
    <x v="3"/>
  </r>
  <r>
    <d v="2023-07-01T00:00:00"/>
    <s v="Story activity."/>
    <x v="1042"/>
    <s v="Utilities"/>
    <x v="1"/>
    <s v="249.36"/>
    <x v="0"/>
    <x v="6"/>
    <x v="3"/>
  </r>
  <r>
    <d v="2023-07-02T00:00:00"/>
    <s v="Billion land detail exist cover."/>
    <x v="1043"/>
    <s v="Utilities"/>
    <x v="1"/>
    <s v="1898.63"/>
    <x v="0"/>
    <x v="6"/>
    <x v="3"/>
  </r>
  <r>
    <d v="2023-07-05T00:00:00"/>
    <s v="Begin voice prevent structure wear."/>
    <x v="1044"/>
    <s v="Investment"/>
    <x v="3"/>
    <s v="2078.0"/>
    <x v="1"/>
    <x v="6"/>
    <x v="3"/>
  </r>
  <r>
    <d v="2023-07-05T00:00:00"/>
    <s v="Beat painting heavy."/>
    <x v="1045"/>
    <s v="Other"/>
    <x v="5"/>
    <s v="1141.0"/>
    <x v="1"/>
    <x v="6"/>
    <x v="3"/>
  </r>
  <r>
    <d v="2023-07-06T00:00:00"/>
    <s v="To receive education."/>
    <x v="1046"/>
    <s v="Shopping"/>
    <x v="4"/>
    <s v="411.82"/>
    <x v="0"/>
    <x v="6"/>
    <x v="3"/>
  </r>
  <r>
    <d v="2023-07-07T00:00:00"/>
    <s v="Realize property show either."/>
    <x v="1047"/>
    <s v="Rent"/>
    <x v="2"/>
    <s v="183.18"/>
    <x v="0"/>
    <x v="6"/>
    <x v="3"/>
  </r>
  <r>
    <d v="2023-07-07T00:00:00"/>
    <s v="Police two."/>
    <x v="1048"/>
    <s v="Utilities"/>
    <x v="1"/>
    <s v="1669.88"/>
    <x v="0"/>
    <x v="6"/>
    <x v="3"/>
  </r>
  <r>
    <d v="2023-07-10T00:00:00"/>
    <s v="Western enough key."/>
    <x v="1049"/>
    <s v="Food &amp; Drink"/>
    <x v="0"/>
    <s v="1575.24"/>
    <x v="0"/>
    <x v="6"/>
    <x v="3"/>
  </r>
  <r>
    <d v="2023-07-10T00:00:00"/>
    <s v="Since him four."/>
    <x v="1050"/>
    <s v="Health &amp; Fitness"/>
    <x v="7"/>
    <s v="1714.68"/>
    <x v="0"/>
    <x v="6"/>
    <x v="3"/>
  </r>
  <r>
    <d v="2023-07-10T00:00:00"/>
    <s v="Shoulder despite poor tree resource."/>
    <x v="1051"/>
    <s v="Investment"/>
    <x v="3"/>
    <s v="1365.0"/>
    <x v="1"/>
    <x v="6"/>
    <x v="3"/>
  </r>
  <r>
    <d v="2023-07-10T00:00:00"/>
    <s v="Particular condition man."/>
    <x v="1052"/>
    <s v="Shopping"/>
    <x v="4"/>
    <s v="233.91"/>
    <x v="0"/>
    <x v="6"/>
    <x v="3"/>
  </r>
  <r>
    <d v="2023-07-11T00:00:00"/>
    <s v="Authority number."/>
    <x v="1053"/>
    <s v="Rent"/>
    <x v="2"/>
    <s v="1573.63"/>
    <x v="0"/>
    <x v="6"/>
    <x v="3"/>
  </r>
  <r>
    <d v="2023-07-13T00:00:00"/>
    <s v="Affect marriage present a."/>
    <x v="1054"/>
    <s v="Health &amp; Fitness"/>
    <x v="7"/>
    <s v="1757.01"/>
    <x v="0"/>
    <x v="6"/>
    <x v="3"/>
  </r>
  <r>
    <d v="2023-07-15T00:00:00"/>
    <s v="Four field area young."/>
    <x v="1055"/>
    <s v="Health &amp; Fitness"/>
    <x v="7"/>
    <s v="1384.12"/>
    <x v="0"/>
    <x v="6"/>
    <x v="3"/>
  </r>
  <r>
    <d v="2023-07-15T00:00:00"/>
    <s v="Difficult his ready sister building."/>
    <x v="1056"/>
    <s v="Other"/>
    <x v="5"/>
    <s v="817.0"/>
    <x v="1"/>
    <x v="6"/>
    <x v="3"/>
  </r>
  <r>
    <d v="2023-07-15T00:00:00"/>
    <s v="Movement which ball least."/>
    <x v="1057"/>
    <s v="Other"/>
    <x v="5"/>
    <s v="2700.0"/>
    <x v="1"/>
    <x v="6"/>
    <x v="3"/>
  </r>
  <r>
    <d v="2023-07-15T00:00:00"/>
    <s v="Entire record toward off."/>
    <x v="1058"/>
    <s v="Salary"/>
    <x v="8"/>
    <s v="1148.33"/>
    <x v="0"/>
    <x v="6"/>
    <x v="3"/>
  </r>
  <r>
    <d v="2023-07-15T00:00:00"/>
    <s v="Long identify road speech."/>
    <x v="1059"/>
    <s v="Utilities"/>
    <x v="1"/>
    <s v="558.07"/>
    <x v="0"/>
    <x v="6"/>
    <x v="3"/>
  </r>
  <r>
    <d v="2023-07-16T00:00:00"/>
    <s v="Computer always his."/>
    <x v="1060"/>
    <s v="Food &amp; Drink"/>
    <x v="0"/>
    <s v="682.35"/>
    <x v="0"/>
    <x v="6"/>
    <x v="3"/>
  </r>
  <r>
    <d v="2023-07-17T00:00:00"/>
    <s v="Receive to piece."/>
    <x v="1061"/>
    <s v="Travel"/>
    <x v="9"/>
    <s v="567.89"/>
    <x v="0"/>
    <x v="6"/>
    <x v="3"/>
  </r>
  <r>
    <d v="2023-07-18T00:00:00"/>
    <s v="Be plan same cause."/>
    <x v="1062"/>
    <s v="Rent"/>
    <x v="2"/>
    <s v="1945.27"/>
    <x v="0"/>
    <x v="6"/>
    <x v="3"/>
  </r>
  <r>
    <d v="2023-07-19T00:00:00"/>
    <s v="As music film move."/>
    <x v="1063"/>
    <s v="Health &amp; Fitness"/>
    <x v="7"/>
    <s v="546.15"/>
    <x v="0"/>
    <x v="6"/>
    <x v="3"/>
  </r>
  <r>
    <d v="2023-07-19T00:00:00"/>
    <s v="Rest or."/>
    <x v="1064"/>
    <s v="Travel"/>
    <x v="9"/>
    <s v="1948.7"/>
    <x v="0"/>
    <x v="6"/>
    <x v="3"/>
  </r>
  <r>
    <d v="2023-07-20T00:00:00"/>
    <s v="Already argue."/>
    <x v="1065"/>
    <s v="Rent"/>
    <x v="2"/>
    <s v="383.99"/>
    <x v="0"/>
    <x v="6"/>
    <x v="3"/>
  </r>
  <r>
    <d v="2023-07-21T00:00:00"/>
    <s v="Brother southern project learn."/>
    <x v="1066"/>
    <s v="Shopping"/>
    <x v="4"/>
    <s v="1484.48"/>
    <x v="0"/>
    <x v="6"/>
    <x v="3"/>
  </r>
  <r>
    <d v="2023-07-23T00:00:00"/>
    <s v="Scientist do author."/>
    <x v="1067"/>
    <s v="Health &amp; Fitness"/>
    <x v="7"/>
    <s v="1643.82"/>
    <x v="0"/>
    <x v="6"/>
    <x v="3"/>
  </r>
  <r>
    <d v="2023-07-25T00:00:00"/>
    <s v="President likely truth animal."/>
    <x v="1068"/>
    <s v="Utilities"/>
    <x v="1"/>
    <s v="140.58"/>
    <x v="0"/>
    <x v="6"/>
    <x v="3"/>
  </r>
  <r>
    <d v="2023-07-26T00:00:00"/>
    <s v="Common anyone."/>
    <x v="1069"/>
    <s v="Shopping"/>
    <x v="4"/>
    <s v="279.94"/>
    <x v="0"/>
    <x v="6"/>
    <x v="3"/>
  </r>
  <r>
    <d v="2023-07-27T00:00:00"/>
    <s v="Box organization."/>
    <x v="1070"/>
    <s v="Entertainment"/>
    <x v="6"/>
    <s v="1675.58"/>
    <x v="0"/>
    <x v="6"/>
    <x v="3"/>
  </r>
  <r>
    <d v="2023-07-27T00:00:00"/>
    <s v="Lay color."/>
    <x v="1071"/>
    <s v="Food &amp; Drink"/>
    <x v="0"/>
    <s v="355.74"/>
    <x v="0"/>
    <x v="6"/>
    <x v="3"/>
  </r>
  <r>
    <d v="2023-07-30T00:00:00"/>
    <s v="Source international."/>
    <x v="1072"/>
    <s v="Salary"/>
    <x v="8"/>
    <s v="110.61"/>
    <x v="0"/>
    <x v="6"/>
    <x v="3"/>
  </r>
  <r>
    <d v="2023-08-01T00:00:00"/>
    <s v="Building range national focus."/>
    <x v="1073"/>
    <s v="Entertainment"/>
    <x v="6"/>
    <s v="555.22"/>
    <x v="0"/>
    <x v="7"/>
    <x v="3"/>
  </r>
  <r>
    <d v="2023-08-04T00:00:00"/>
    <s v="Or friend."/>
    <x v="1074"/>
    <s v="Shopping"/>
    <x v="4"/>
    <s v="1274.47"/>
    <x v="0"/>
    <x v="7"/>
    <x v="3"/>
  </r>
  <r>
    <d v="2023-08-05T00:00:00"/>
    <s v="Center indeed recent."/>
    <x v="1075"/>
    <s v="Investment"/>
    <x v="3"/>
    <s v="2481.0"/>
    <x v="1"/>
    <x v="7"/>
    <x v="3"/>
  </r>
  <r>
    <d v="2023-08-07T00:00:00"/>
    <s v="Partner sing administration main according."/>
    <x v="1076"/>
    <s v="Health &amp; Fitness"/>
    <x v="7"/>
    <s v="695.06"/>
    <x v="0"/>
    <x v="7"/>
    <x v="3"/>
  </r>
  <r>
    <d v="2023-08-07T00:00:00"/>
    <s v="Just understand american."/>
    <x v="1077"/>
    <s v="Salary"/>
    <x v="8"/>
    <s v="363.39"/>
    <x v="0"/>
    <x v="7"/>
    <x v="3"/>
  </r>
  <r>
    <d v="2023-08-09T00:00:00"/>
    <s v="Religious order."/>
    <x v="1078"/>
    <s v="Travel"/>
    <x v="9"/>
    <s v="1500.43"/>
    <x v="0"/>
    <x v="7"/>
    <x v="3"/>
  </r>
  <r>
    <d v="2023-08-09T00:00:00"/>
    <s v="Really society live camera."/>
    <x v="1079"/>
    <s v="Travel"/>
    <x v="9"/>
    <s v="64.63"/>
    <x v="0"/>
    <x v="7"/>
    <x v="3"/>
  </r>
  <r>
    <d v="2023-08-10T00:00:00"/>
    <s v="Conference matter wear physical site."/>
    <x v="1080"/>
    <s v="Entertainment"/>
    <x v="6"/>
    <s v="545.48"/>
    <x v="0"/>
    <x v="7"/>
    <x v="3"/>
  </r>
  <r>
    <d v="2023-08-10T00:00:00"/>
    <s v="Mission include visit."/>
    <x v="1081"/>
    <s v="Investment"/>
    <x v="3"/>
    <s v="2313.0"/>
    <x v="1"/>
    <x v="7"/>
    <x v="3"/>
  </r>
  <r>
    <d v="2023-08-11T00:00:00"/>
    <s v="Above dog brother morning."/>
    <x v="1082"/>
    <s v="Food &amp; Drink"/>
    <x v="0"/>
    <s v="1730.61"/>
    <x v="0"/>
    <x v="7"/>
    <x v="3"/>
  </r>
  <r>
    <d v="2023-08-16T00:00:00"/>
    <s v="Gun seven music despite show."/>
    <x v="1083"/>
    <s v="Food &amp; Drink"/>
    <x v="0"/>
    <s v="953.45"/>
    <x v="0"/>
    <x v="7"/>
    <x v="3"/>
  </r>
  <r>
    <d v="2023-08-17T00:00:00"/>
    <s v="Apply both chance."/>
    <x v="1084"/>
    <s v="Investment"/>
    <x v="3"/>
    <s v="569.0"/>
    <x v="1"/>
    <x v="7"/>
    <x v="3"/>
  </r>
  <r>
    <d v="2023-08-17T00:00:00"/>
    <s v="Computer prove amount population."/>
    <x v="1085"/>
    <s v="Travel"/>
    <x v="9"/>
    <s v="1428.35"/>
    <x v="0"/>
    <x v="7"/>
    <x v="3"/>
  </r>
  <r>
    <d v="2023-08-21T00:00:00"/>
    <s v="Itself free source."/>
    <x v="1086"/>
    <s v="Travel"/>
    <x v="9"/>
    <s v="853.38"/>
    <x v="0"/>
    <x v="7"/>
    <x v="3"/>
  </r>
  <r>
    <d v="2023-08-22T00:00:00"/>
    <s v="Bit appear."/>
    <x v="1087"/>
    <s v="Health &amp; Fitness"/>
    <x v="7"/>
    <s v="923.41"/>
    <x v="0"/>
    <x v="7"/>
    <x v="3"/>
  </r>
  <r>
    <d v="2023-08-23T00:00:00"/>
    <s v="Citizen ahead method."/>
    <x v="1088"/>
    <s v="Travel"/>
    <x v="9"/>
    <s v="1357.62"/>
    <x v="0"/>
    <x v="7"/>
    <x v="3"/>
  </r>
  <r>
    <d v="2023-08-25T00:00:00"/>
    <s v="Return or for."/>
    <x v="1089"/>
    <s v="Shopping"/>
    <x v="4"/>
    <s v="1173.13"/>
    <x v="0"/>
    <x v="7"/>
    <x v="3"/>
  </r>
  <r>
    <d v="2023-08-27T00:00:00"/>
    <s v="Discover body direction down."/>
    <x v="1090"/>
    <s v="Other"/>
    <x v="5"/>
    <s v="2815.0"/>
    <x v="1"/>
    <x v="7"/>
    <x v="3"/>
  </r>
  <r>
    <d v="2023-08-30T00:00:00"/>
    <s v="Heart determine likely."/>
    <x v="1091"/>
    <s v="Rent"/>
    <x v="2"/>
    <s v="968.66"/>
    <x v="0"/>
    <x v="7"/>
    <x v="3"/>
  </r>
  <r>
    <d v="2023-08-30T00:00:00"/>
    <s v="Three certain."/>
    <x v="1092"/>
    <s v="Travel"/>
    <x v="9"/>
    <s v="1284.78"/>
    <x v="0"/>
    <x v="7"/>
    <x v="3"/>
  </r>
  <r>
    <d v="2023-08-30T00:00:00"/>
    <s v="Hold carry rest."/>
    <x v="1093"/>
    <s v="Travel"/>
    <x v="9"/>
    <s v="1315.68"/>
    <x v="0"/>
    <x v="7"/>
    <x v="3"/>
  </r>
  <r>
    <d v="2023-08-30T00:00:00"/>
    <s v="Dark camera realize."/>
    <x v="1094"/>
    <s v="Travel"/>
    <x v="9"/>
    <s v="384.84"/>
    <x v="0"/>
    <x v="7"/>
    <x v="3"/>
  </r>
  <r>
    <d v="2023-09-01T00:00:00"/>
    <s v="Carry surface learn."/>
    <x v="1095"/>
    <s v="Entertainment"/>
    <x v="6"/>
    <s v="1800.38"/>
    <x v="0"/>
    <x v="8"/>
    <x v="3"/>
  </r>
  <r>
    <d v="2023-09-01T00:00:00"/>
    <s v="Detail far church some."/>
    <x v="1096"/>
    <s v="Shopping"/>
    <x v="4"/>
    <s v="1324.46"/>
    <x v="0"/>
    <x v="8"/>
    <x v="3"/>
  </r>
  <r>
    <d v="2023-09-03T00:00:00"/>
    <s v="Wife talk beat tax majority."/>
    <x v="1097"/>
    <s v="Food &amp; Drink"/>
    <x v="0"/>
    <s v="1314.25"/>
    <x v="0"/>
    <x v="8"/>
    <x v="3"/>
  </r>
  <r>
    <d v="2023-09-04T00:00:00"/>
    <s v="Individual analysis."/>
    <x v="1098"/>
    <s v="Entertainment"/>
    <x v="6"/>
    <s v="692.9"/>
    <x v="0"/>
    <x v="8"/>
    <x v="3"/>
  </r>
  <r>
    <d v="2023-09-04T00:00:00"/>
    <s v="Its develop until watch."/>
    <x v="1099"/>
    <s v="Food &amp; Drink"/>
    <x v="0"/>
    <s v="1170.22"/>
    <x v="0"/>
    <x v="8"/>
    <x v="3"/>
  </r>
  <r>
    <d v="2023-09-04T00:00:00"/>
    <s v="List leg address into their."/>
    <x v="1100"/>
    <s v="Travel"/>
    <x v="9"/>
    <s v="1814.75"/>
    <x v="0"/>
    <x v="8"/>
    <x v="3"/>
  </r>
  <r>
    <d v="2023-09-07T00:00:00"/>
    <s v="Almost most look something."/>
    <x v="1101"/>
    <s v="Salary"/>
    <x v="8"/>
    <s v="1813.99"/>
    <x v="0"/>
    <x v="8"/>
    <x v="3"/>
  </r>
  <r>
    <d v="2023-09-10T00:00:00"/>
    <s v="Manager bar send really."/>
    <x v="1102"/>
    <s v="Travel"/>
    <x v="9"/>
    <s v="1692.38"/>
    <x v="0"/>
    <x v="8"/>
    <x v="3"/>
  </r>
  <r>
    <d v="2023-09-11T00:00:00"/>
    <s v="Look fight."/>
    <x v="1103"/>
    <s v="Travel"/>
    <x v="9"/>
    <s v="1453.12"/>
    <x v="0"/>
    <x v="8"/>
    <x v="3"/>
  </r>
  <r>
    <d v="2023-09-11T00:00:00"/>
    <s v="Car fast positive."/>
    <x v="1104"/>
    <s v="Utilities"/>
    <x v="1"/>
    <s v="594.63"/>
    <x v="0"/>
    <x v="8"/>
    <x v="3"/>
  </r>
  <r>
    <d v="2023-09-12T00:00:00"/>
    <s v="Smile have less."/>
    <x v="1105"/>
    <s v="Rent"/>
    <x v="2"/>
    <s v="452.28"/>
    <x v="0"/>
    <x v="8"/>
    <x v="3"/>
  </r>
  <r>
    <d v="2023-09-12T00:00:00"/>
    <s v="Section agency lawyer sign them."/>
    <x v="1106"/>
    <s v="Utilities"/>
    <x v="1"/>
    <s v="1894.38"/>
    <x v="0"/>
    <x v="8"/>
    <x v="3"/>
  </r>
  <r>
    <d v="2023-09-13T00:00:00"/>
    <s v="Audience throw four allow international."/>
    <x v="1107"/>
    <s v="Travel"/>
    <x v="9"/>
    <s v="846.74"/>
    <x v="0"/>
    <x v="8"/>
    <x v="3"/>
  </r>
  <r>
    <d v="2023-09-14T00:00:00"/>
    <s v="My some skin ball thing."/>
    <x v="1108"/>
    <s v="Health &amp; Fitness"/>
    <x v="7"/>
    <s v="528.51"/>
    <x v="0"/>
    <x v="8"/>
    <x v="3"/>
  </r>
  <r>
    <d v="2023-09-14T00:00:00"/>
    <s v="War push thousand book half."/>
    <x v="1109"/>
    <s v="Rent"/>
    <x v="2"/>
    <s v="946.37"/>
    <x v="0"/>
    <x v="8"/>
    <x v="3"/>
  </r>
  <r>
    <d v="2023-09-14T00:00:00"/>
    <s v="Hand possible relate night."/>
    <x v="1110"/>
    <s v="Rent"/>
    <x v="2"/>
    <s v="949.72"/>
    <x v="0"/>
    <x v="8"/>
    <x v="3"/>
  </r>
  <r>
    <d v="2023-09-15T00:00:00"/>
    <s v="Wonder draw box."/>
    <x v="1111"/>
    <s v="Investment"/>
    <x v="3"/>
    <s v="3626.0"/>
    <x v="1"/>
    <x v="8"/>
    <x v="3"/>
  </r>
  <r>
    <d v="2023-09-15T00:00:00"/>
    <s v="That reflect send set fly."/>
    <x v="1112"/>
    <s v="Shopping"/>
    <x v="4"/>
    <s v="117.58"/>
    <x v="0"/>
    <x v="8"/>
    <x v="3"/>
  </r>
  <r>
    <d v="2023-09-16T00:00:00"/>
    <s v="Money but report question."/>
    <x v="1113"/>
    <s v="Salary"/>
    <x v="8"/>
    <s v="295.02"/>
    <x v="0"/>
    <x v="8"/>
    <x v="3"/>
  </r>
  <r>
    <d v="2023-09-16T00:00:00"/>
    <s v="Quite everyone as generation."/>
    <x v="1114"/>
    <s v="Utilities"/>
    <x v="1"/>
    <s v="1984.77"/>
    <x v="0"/>
    <x v="8"/>
    <x v="3"/>
  </r>
  <r>
    <d v="2023-09-21T00:00:00"/>
    <s v="Later happy pull."/>
    <x v="1115"/>
    <s v="Utilities"/>
    <x v="1"/>
    <s v="1560.09"/>
    <x v="0"/>
    <x v="8"/>
    <x v="3"/>
  </r>
  <r>
    <d v="2023-09-21T00:00:00"/>
    <s v="Throughout leader bag."/>
    <x v="1116"/>
    <s v="Utilities"/>
    <x v="1"/>
    <s v="633.69"/>
    <x v="0"/>
    <x v="8"/>
    <x v="3"/>
  </r>
  <r>
    <d v="2023-09-23T00:00:00"/>
    <s v="When baby clearly."/>
    <x v="1117"/>
    <s v="Other"/>
    <x v="5"/>
    <s v="2740.0"/>
    <x v="1"/>
    <x v="8"/>
    <x v="3"/>
  </r>
  <r>
    <d v="2023-09-24T00:00:00"/>
    <s v="Many themselves minute."/>
    <x v="1118"/>
    <s v="Utilities"/>
    <x v="1"/>
    <s v="1156.8"/>
    <x v="0"/>
    <x v="8"/>
    <x v="3"/>
  </r>
  <r>
    <d v="2023-09-28T00:00:00"/>
    <s v="Indicate radio use."/>
    <x v="1119"/>
    <s v="Investment"/>
    <x v="3"/>
    <s v="1560.0"/>
    <x v="1"/>
    <x v="8"/>
    <x v="3"/>
  </r>
  <r>
    <d v="2023-09-29T00:00:00"/>
    <s v="Information scene again country."/>
    <x v="1120"/>
    <s v="Shopping"/>
    <x v="4"/>
    <s v="812.75"/>
    <x v="0"/>
    <x v="8"/>
    <x v="3"/>
  </r>
  <r>
    <d v="2023-10-03T00:00:00"/>
    <s v="Strong mind from."/>
    <x v="1121"/>
    <s v="Shopping"/>
    <x v="4"/>
    <s v="19.29"/>
    <x v="0"/>
    <x v="9"/>
    <x v="3"/>
  </r>
  <r>
    <d v="2023-10-04T00:00:00"/>
    <s v="Knowledge fight car smile commercial."/>
    <x v="1122"/>
    <s v="Entertainment"/>
    <x v="6"/>
    <s v="45.65"/>
    <x v="0"/>
    <x v="9"/>
    <x v="3"/>
  </r>
  <r>
    <d v="2023-10-04T00:00:00"/>
    <s v="Pretty skin main program."/>
    <x v="1123"/>
    <s v="Health &amp; Fitness"/>
    <x v="7"/>
    <s v="1900.64"/>
    <x v="0"/>
    <x v="9"/>
    <x v="3"/>
  </r>
  <r>
    <d v="2023-10-05T00:00:00"/>
    <s v="Machine wife show."/>
    <x v="1124"/>
    <s v="Investment"/>
    <x v="3"/>
    <s v="2353.0"/>
    <x v="1"/>
    <x v="9"/>
    <x v="3"/>
  </r>
  <r>
    <d v="2023-10-06T00:00:00"/>
    <s v="Good lay coach."/>
    <x v="1125"/>
    <s v="Health &amp; Fitness"/>
    <x v="7"/>
    <s v="631.06"/>
    <x v="0"/>
    <x v="9"/>
    <x v="3"/>
  </r>
  <r>
    <d v="2023-10-08T00:00:00"/>
    <s v="Draw american first."/>
    <x v="1126"/>
    <s v="Investment"/>
    <x v="3"/>
    <s v="2942.0"/>
    <x v="1"/>
    <x v="9"/>
    <x v="3"/>
  </r>
  <r>
    <d v="2023-10-08T00:00:00"/>
    <s v="Expect win stuff realize project."/>
    <x v="1127"/>
    <s v="Other"/>
    <x v="5"/>
    <s v="1868.0"/>
    <x v="1"/>
    <x v="9"/>
    <x v="3"/>
  </r>
  <r>
    <d v="2023-10-08T00:00:00"/>
    <s v="Employee continue none alone."/>
    <x v="1128"/>
    <s v="Salary"/>
    <x v="8"/>
    <s v="1458.39"/>
    <x v="0"/>
    <x v="9"/>
    <x v="3"/>
  </r>
  <r>
    <d v="2023-10-09T00:00:00"/>
    <s v="Challenge large wish move."/>
    <x v="1129"/>
    <s v="Health &amp; Fitness"/>
    <x v="7"/>
    <s v="872.99"/>
    <x v="0"/>
    <x v="9"/>
    <x v="3"/>
  </r>
  <r>
    <d v="2023-10-09T00:00:00"/>
    <s v="Identify material."/>
    <x v="1130"/>
    <s v="Utilities"/>
    <x v="1"/>
    <s v="692.04"/>
    <x v="0"/>
    <x v="9"/>
    <x v="3"/>
  </r>
  <r>
    <d v="2023-10-11T00:00:00"/>
    <s v="Until choose wife national."/>
    <x v="1131"/>
    <s v="Health &amp; Fitness"/>
    <x v="7"/>
    <s v="1502.73"/>
    <x v="0"/>
    <x v="9"/>
    <x v="3"/>
  </r>
  <r>
    <d v="2023-10-13T00:00:00"/>
    <s v="Positive far time wide."/>
    <x v="1132"/>
    <s v="Other"/>
    <x v="5"/>
    <s v="656.0"/>
    <x v="1"/>
    <x v="9"/>
    <x v="3"/>
  </r>
  <r>
    <d v="2023-10-14T00:00:00"/>
    <s v="Rule too."/>
    <x v="1133"/>
    <s v="Investment"/>
    <x v="3"/>
    <s v="1508.0"/>
    <x v="1"/>
    <x v="9"/>
    <x v="3"/>
  </r>
  <r>
    <d v="2023-10-14T00:00:00"/>
    <s v="Son rock two."/>
    <x v="1134"/>
    <s v="Utilities"/>
    <x v="1"/>
    <s v="430.27"/>
    <x v="0"/>
    <x v="9"/>
    <x v="3"/>
  </r>
  <r>
    <d v="2023-10-15T00:00:00"/>
    <s v="Bring agent pay detail group."/>
    <x v="1135"/>
    <s v="Food &amp; Drink"/>
    <x v="0"/>
    <s v="756.63"/>
    <x v="0"/>
    <x v="9"/>
    <x v="3"/>
  </r>
  <r>
    <d v="2023-10-15T00:00:00"/>
    <s v="Part crime."/>
    <x v="1136"/>
    <s v="Food &amp; Drink"/>
    <x v="0"/>
    <s v="1191.91"/>
    <x v="0"/>
    <x v="9"/>
    <x v="3"/>
  </r>
  <r>
    <d v="2023-10-16T00:00:00"/>
    <s v="Sit short cultural."/>
    <x v="1137"/>
    <s v="Investment"/>
    <x v="3"/>
    <s v="661.0"/>
    <x v="1"/>
    <x v="9"/>
    <x v="3"/>
  </r>
  <r>
    <d v="2023-10-17T00:00:00"/>
    <s v="Support quality whatever wish hour."/>
    <x v="1138"/>
    <s v="Investment"/>
    <x v="3"/>
    <s v="3914.0"/>
    <x v="1"/>
    <x v="9"/>
    <x v="3"/>
  </r>
  <r>
    <d v="2023-10-17T00:00:00"/>
    <s v="Owner memory argue project."/>
    <x v="1139"/>
    <s v="Rent"/>
    <x v="2"/>
    <s v="1099.09"/>
    <x v="0"/>
    <x v="9"/>
    <x v="3"/>
  </r>
  <r>
    <d v="2023-10-27T00:00:00"/>
    <s v="General final knowledge."/>
    <x v="1140"/>
    <s v="Food &amp; Drink"/>
    <x v="0"/>
    <s v="609.22"/>
    <x v="0"/>
    <x v="9"/>
    <x v="3"/>
  </r>
  <r>
    <d v="2023-10-27T00:00:00"/>
    <s v="Respond into history."/>
    <x v="1141"/>
    <s v="Utilities"/>
    <x v="1"/>
    <s v="418.93"/>
    <x v="0"/>
    <x v="9"/>
    <x v="3"/>
  </r>
  <r>
    <d v="2023-10-29T00:00:00"/>
    <s v="Democratic thousand."/>
    <x v="1142"/>
    <s v="Travel"/>
    <x v="9"/>
    <s v="1249.37"/>
    <x v="0"/>
    <x v="9"/>
    <x v="3"/>
  </r>
  <r>
    <d v="2023-10-30T00:00:00"/>
    <s v="Structure our century."/>
    <x v="1143"/>
    <s v="Investment"/>
    <x v="3"/>
    <s v="2815.0"/>
    <x v="1"/>
    <x v="9"/>
    <x v="3"/>
  </r>
  <r>
    <d v="2023-10-30T00:00:00"/>
    <s v="Eye south wife interest."/>
    <x v="1144"/>
    <s v="Shopping"/>
    <x v="4"/>
    <s v="1663.0"/>
    <x v="0"/>
    <x v="9"/>
    <x v="3"/>
  </r>
  <r>
    <d v="2023-11-04T00:00:00"/>
    <s v="Write moment friend value."/>
    <x v="1145"/>
    <s v="Investment"/>
    <x v="3"/>
    <s v="4577.0"/>
    <x v="1"/>
    <x v="10"/>
    <x v="3"/>
  </r>
  <r>
    <d v="2023-11-05T00:00:00"/>
    <s v="According police."/>
    <x v="1146"/>
    <s v="Investment"/>
    <x v="3"/>
    <s v="2654.0"/>
    <x v="1"/>
    <x v="10"/>
    <x v="3"/>
  </r>
  <r>
    <d v="2023-11-08T00:00:00"/>
    <s v="Company left nothing trip."/>
    <x v="1147"/>
    <s v="Entertainment"/>
    <x v="6"/>
    <s v="722.26"/>
    <x v="0"/>
    <x v="10"/>
    <x v="3"/>
  </r>
  <r>
    <d v="2023-11-08T00:00:00"/>
    <s v="Fight nice less agree able."/>
    <x v="1148"/>
    <s v="Entertainment"/>
    <x v="6"/>
    <s v="1379.53"/>
    <x v="0"/>
    <x v="10"/>
    <x v="3"/>
  </r>
  <r>
    <d v="2023-11-08T00:00:00"/>
    <s v="Strategy face make."/>
    <x v="1149"/>
    <s v="Utilities"/>
    <x v="1"/>
    <s v="88.42"/>
    <x v="0"/>
    <x v="10"/>
    <x v="3"/>
  </r>
  <r>
    <d v="2023-11-09T00:00:00"/>
    <s v="What strong line."/>
    <x v="1150"/>
    <s v="Entertainment"/>
    <x v="6"/>
    <s v="15.45"/>
    <x v="0"/>
    <x v="10"/>
    <x v="3"/>
  </r>
  <r>
    <d v="2023-11-09T00:00:00"/>
    <s v="Conference trade population agreement."/>
    <x v="1151"/>
    <s v="Rent"/>
    <x v="2"/>
    <s v="1672.11"/>
    <x v="0"/>
    <x v="10"/>
    <x v="3"/>
  </r>
  <r>
    <d v="2023-11-11T00:00:00"/>
    <s v="Than physical live reason."/>
    <x v="1152"/>
    <s v="Rent"/>
    <x v="2"/>
    <s v="1449.89"/>
    <x v="0"/>
    <x v="10"/>
    <x v="3"/>
  </r>
  <r>
    <d v="2023-11-11T00:00:00"/>
    <s v="Yes at seat ok."/>
    <x v="1153"/>
    <s v="Utilities"/>
    <x v="1"/>
    <s v="1899.4"/>
    <x v="0"/>
    <x v="10"/>
    <x v="3"/>
  </r>
  <r>
    <d v="2023-11-13T00:00:00"/>
    <s v="Mention offer suddenly clear."/>
    <x v="1154"/>
    <s v="Other"/>
    <x v="5"/>
    <s v="2393.0"/>
    <x v="1"/>
    <x v="10"/>
    <x v="3"/>
  </r>
  <r>
    <d v="2023-11-14T00:00:00"/>
    <s v="Evening information."/>
    <x v="1155"/>
    <s v="Investment"/>
    <x v="3"/>
    <s v="823.0"/>
    <x v="1"/>
    <x v="10"/>
    <x v="3"/>
  </r>
  <r>
    <d v="2023-11-14T00:00:00"/>
    <s v="Floor there career."/>
    <x v="1156"/>
    <s v="Travel"/>
    <x v="9"/>
    <s v="535.61"/>
    <x v="0"/>
    <x v="10"/>
    <x v="3"/>
  </r>
  <r>
    <d v="2023-11-15T00:00:00"/>
    <s v="Face morning."/>
    <x v="1157"/>
    <s v="Health &amp; Fitness"/>
    <x v="7"/>
    <s v="1605.18"/>
    <x v="0"/>
    <x v="10"/>
    <x v="3"/>
  </r>
  <r>
    <d v="2023-11-17T00:00:00"/>
    <s v="Create physical share out cold."/>
    <x v="1158"/>
    <s v="Rent"/>
    <x v="2"/>
    <s v="199.05"/>
    <x v="0"/>
    <x v="10"/>
    <x v="3"/>
  </r>
  <r>
    <d v="2023-11-18T00:00:00"/>
    <s v="Step rate feeling rate."/>
    <x v="1159"/>
    <s v="Food &amp; Drink"/>
    <x v="0"/>
    <s v="29.25"/>
    <x v="0"/>
    <x v="10"/>
    <x v="3"/>
  </r>
  <r>
    <d v="2023-11-21T00:00:00"/>
    <s v="Move goal."/>
    <x v="1160"/>
    <s v="Investment"/>
    <x v="3"/>
    <s v="3192.0"/>
    <x v="1"/>
    <x v="10"/>
    <x v="3"/>
  </r>
  <r>
    <d v="2023-11-21T00:00:00"/>
    <s v="Carry example."/>
    <x v="1161"/>
    <s v="Salary"/>
    <x v="8"/>
    <s v="1910.63"/>
    <x v="0"/>
    <x v="10"/>
    <x v="3"/>
  </r>
  <r>
    <d v="2023-11-22T00:00:00"/>
    <s v="Future treat bill choice."/>
    <x v="1162"/>
    <s v="Rent"/>
    <x v="2"/>
    <s v="751.52"/>
    <x v="0"/>
    <x v="10"/>
    <x v="3"/>
  </r>
  <r>
    <d v="2023-11-23T00:00:00"/>
    <s v="Somebody next ready."/>
    <x v="1163"/>
    <s v="Rent"/>
    <x v="2"/>
    <s v="807.55"/>
    <x v="0"/>
    <x v="10"/>
    <x v="3"/>
  </r>
  <r>
    <d v="2023-11-23T00:00:00"/>
    <s v="Republican reduce sort individual trouble."/>
    <x v="1164"/>
    <s v="Travel"/>
    <x v="9"/>
    <s v="1673.06"/>
    <x v="0"/>
    <x v="10"/>
    <x v="3"/>
  </r>
  <r>
    <d v="2023-11-26T00:00:00"/>
    <s v="Report agreement sport."/>
    <x v="1165"/>
    <s v="Food &amp; Drink"/>
    <x v="0"/>
    <s v="1963.32"/>
    <x v="0"/>
    <x v="10"/>
    <x v="3"/>
  </r>
  <r>
    <d v="2023-11-26T00:00:00"/>
    <s v="Task central dinner."/>
    <x v="1166"/>
    <s v="Rent"/>
    <x v="2"/>
    <s v="837.9"/>
    <x v="0"/>
    <x v="10"/>
    <x v="3"/>
  </r>
  <r>
    <d v="2023-11-26T00:00:00"/>
    <s v="Type look find."/>
    <x v="1167"/>
    <s v="Salary"/>
    <x v="8"/>
    <s v="1601.8"/>
    <x v="0"/>
    <x v="10"/>
    <x v="3"/>
  </r>
  <r>
    <d v="2023-11-26T00:00:00"/>
    <s v="Stage threat our."/>
    <x v="1168"/>
    <s v="Utilities"/>
    <x v="1"/>
    <s v="234.98"/>
    <x v="0"/>
    <x v="10"/>
    <x v="3"/>
  </r>
  <r>
    <d v="2023-11-27T00:00:00"/>
    <s v="Affect machine."/>
    <x v="1169"/>
    <s v="Health &amp; Fitness"/>
    <x v="7"/>
    <s v="1226.6"/>
    <x v="0"/>
    <x v="10"/>
    <x v="3"/>
  </r>
  <r>
    <d v="2023-11-27T00:00:00"/>
    <s v="Candidate bad real."/>
    <x v="1170"/>
    <s v="Salary"/>
    <x v="8"/>
    <s v="370.71"/>
    <x v="0"/>
    <x v="10"/>
    <x v="3"/>
  </r>
  <r>
    <d v="2023-11-28T00:00:00"/>
    <s v="Arrive budget education at property."/>
    <x v="1171"/>
    <s v="Shopping"/>
    <x v="4"/>
    <s v="886.97"/>
    <x v="0"/>
    <x v="10"/>
    <x v="3"/>
  </r>
  <r>
    <d v="2023-11-28T00:00:00"/>
    <s v="Cultural allow."/>
    <x v="1172"/>
    <s v="Utilities"/>
    <x v="1"/>
    <s v="971.33"/>
    <x v="0"/>
    <x v="10"/>
    <x v="3"/>
  </r>
  <r>
    <d v="2023-11-29T00:00:00"/>
    <s v="Turn day top."/>
    <x v="1173"/>
    <s v="Other"/>
    <x v="5"/>
    <s v="601.0"/>
    <x v="1"/>
    <x v="10"/>
    <x v="3"/>
  </r>
  <r>
    <d v="2023-12-05T00:00:00"/>
    <s v="Ahead certainly second everyone."/>
    <x v="1174"/>
    <s v="Entertainment"/>
    <x v="6"/>
    <s v="1956.01"/>
    <x v="0"/>
    <x v="11"/>
    <x v="3"/>
  </r>
  <r>
    <d v="2023-12-05T00:00:00"/>
    <s v="Goal talk sit party."/>
    <x v="1175"/>
    <s v="Health &amp; Fitness"/>
    <x v="7"/>
    <s v="1043.01"/>
    <x v="0"/>
    <x v="11"/>
    <x v="3"/>
  </r>
  <r>
    <d v="2023-12-06T00:00:00"/>
    <s v="Attention standard shake more respond."/>
    <x v="1176"/>
    <s v="Rent"/>
    <x v="2"/>
    <s v="871.37"/>
    <x v="0"/>
    <x v="11"/>
    <x v="3"/>
  </r>
  <r>
    <d v="2023-12-08T00:00:00"/>
    <s v="Top mr wind."/>
    <x v="1177"/>
    <s v="Salary"/>
    <x v="8"/>
    <s v="698.04"/>
    <x v="0"/>
    <x v="11"/>
    <x v="3"/>
  </r>
  <r>
    <d v="2023-12-09T00:00:00"/>
    <s v="Pull blue strong wonder."/>
    <x v="1178"/>
    <s v="Food &amp; Drink"/>
    <x v="0"/>
    <s v="33.17"/>
    <x v="0"/>
    <x v="11"/>
    <x v="3"/>
  </r>
  <r>
    <d v="2023-12-09T00:00:00"/>
    <s v="Turn surface listen."/>
    <x v="1179"/>
    <s v="Shopping"/>
    <x v="4"/>
    <s v="305.82"/>
    <x v="0"/>
    <x v="11"/>
    <x v="3"/>
  </r>
  <r>
    <d v="2023-12-10T00:00:00"/>
    <s v="Method imagine seven."/>
    <x v="1180"/>
    <s v="Salary"/>
    <x v="8"/>
    <s v="1705.22"/>
    <x v="0"/>
    <x v="11"/>
    <x v="3"/>
  </r>
  <r>
    <d v="2023-12-11T00:00:00"/>
    <s v="Letter mind many."/>
    <x v="1181"/>
    <s v="Rent"/>
    <x v="2"/>
    <s v="1505.35"/>
    <x v="0"/>
    <x v="11"/>
    <x v="3"/>
  </r>
  <r>
    <d v="2023-12-13T00:00:00"/>
    <s v="News american foreign."/>
    <x v="1182"/>
    <s v="Health &amp; Fitness"/>
    <x v="7"/>
    <s v="1940.59"/>
    <x v="0"/>
    <x v="11"/>
    <x v="3"/>
  </r>
  <r>
    <d v="2023-12-14T00:00:00"/>
    <s v="Network fact talk."/>
    <x v="1183"/>
    <s v="Entertainment"/>
    <x v="6"/>
    <s v="166.87"/>
    <x v="0"/>
    <x v="11"/>
    <x v="3"/>
  </r>
  <r>
    <d v="2023-12-14T00:00:00"/>
    <s v="Exist outside find wish."/>
    <x v="1184"/>
    <s v="Investment"/>
    <x v="3"/>
    <s v="3601.0"/>
    <x v="1"/>
    <x v="11"/>
    <x v="3"/>
  </r>
  <r>
    <d v="2023-12-18T00:00:00"/>
    <s v="Thus sort."/>
    <x v="1185"/>
    <s v="Salary"/>
    <x v="8"/>
    <s v="185.16"/>
    <x v="0"/>
    <x v="11"/>
    <x v="3"/>
  </r>
  <r>
    <d v="2023-12-20T00:00:00"/>
    <s v="Actually purpose public."/>
    <x v="1186"/>
    <s v="Health &amp; Fitness"/>
    <x v="7"/>
    <s v="246.23"/>
    <x v="0"/>
    <x v="11"/>
    <x v="3"/>
  </r>
  <r>
    <d v="2023-12-21T00:00:00"/>
    <s v="Mission put budget house."/>
    <x v="1187"/>
    <s v="Food &amp; Drink"/>
    <x v="0"/>
    <s v="214.26"/>
    <x v="0"/>
    <x v="11"/>
    <x v="3"/>
  </r>
  <r>
    <d v="2023-12-22T00:00:00"/>
    <s v="Ask window full."/>
    <x v="1188"/>
    <s v="Food &amp; Drink"/>
    <x v="0"/>
    <s v="1653.56"/>
    <x v="0"/>
    <x v="11"/>
    <x v="3"/>
  </r>
  <r>
    <d v="2023-12-23T00:00:00"/>
    <s v="Do interesting material."/>
    <x v="1189"/>
    <s v="Travel"/>
    <x v="9"/>
    <s v="1781.32"/>
    <x v="0"/>
    <x v="11"/>
    <x v="3"/>
  </r>
  <r>
    <d v="2023-12-25T00:00:00"/>
    <s v="Event smile popular hundred live."/>
    <x v="1190"/>
    <s v="Salary"/>
    <x v="8"/>
    <s v="1901.21"/>
    <x v="0"/>
    <x v="11"/>
    <x v="3"/>
  </r>
  <r>
    <d v="2023-12-26T00:00:00"/>
    <s v="Memory challenge lawyer business."/>
    <x v="1191"/>
    <s v="Food &amp; Drink"/>
    <x v="0"/>
    <s v="1635.01"/>
    <x v="0"/>
    <x v="11"/>
    <x v="3"/>
  </r>
  <r>
    <d v="2023-12-27T00:00:00"/>
    <s v="Discuss wall ahead scene."/>
    <x v="1192"/>
    <s v="Health &amp; Fitness"/>
    <x v="7"/>
    <s v="1124.7"/>
    <x v="0"/>
    <x v="11"/>
    <x v="3"/>
  </r>
  <r>
    <d v="2023-12-29T00:00:00"/>
    <s v="Society dark product make."/>
    <x v="1193"/>
    <s v="Entertainment"/>
    <x v="6"/>
    <s v="14.37"/>
    <x v="0"/>
    <x v="11"/>
    <x v="3"/>
  </r>
  <r>
    <d v="2023-12-29T00:00:00"/>
    <s v="Question will him quickly."/>
    <x v="1194"/>
    <s v="Salary"/>
    <x v="8"/>
    <s v="1436.15"/>
    <x v="0"/>
    <x v="11"/>
    <x v="3"/>
  </r>
  <r>
    <d v="2023-12-29T00:00:00"/>
    <s v="Perform benefit baby."/>
    <x v="1195"/>
    <s v="Salary"/>
    <x v="8"/>
    <s v="236.91"/>
    <x v="0"/>
    <x v="11"/>
    <x v="3"/>
  </r>
  <r>
    <d v="2024-01-02T00:00:00"/>
    <s v="Himself fire heavy."/>
    <x v="1196"/>
    <s v="Rent"/>
    <x v="2"/>
    <s v="101.1"/>
    <x v="0"/>
    <x v="0"/>
    <x v="4"/>
  </r>
  <r>
    <d v="2024-01-02T00:00:00"/>
    <s v="Gas teacher national weight all."/>
    <x v="1197"/>
    <s v="Travel"/>
    <x v="9"/>
    <s v="1099.9"/>
    <x v="0"/>
    <x v="0"/>
    <x v="4"/>
  </r>
  <r>
    <d v="2024-01-04T00:00:00"/>
    <s v="Allow news."/>
    <x v="1198"/>
    <s v="Investment"/>
    <x v="3"/>
    <s v="3852.0"/>
    <x v="1"/>
    <x v="0"/>
    <x v="4"/>
  </r>
  <r>
    <d v="2024-01-04T00:00:00"/>
    <s v="Man care resource."/>
    <x v="1199"/>
    <s v="Investment"/>
    <x v="3"/>
    <s v="2036.0"/>
    <x v="1"/>
    <x v="0"/>
    <x v="4"/>
  </r>
  <r>
    <d v="2024-01-07T00:00:00"/>
    <s v="Notice make."/>
    <x v="1200"/>
    <s v="Other"/>
    <x v="5"/>
    <s v="2266.0"/>
    <x v="1"/>
    <x v="0"/>
    <x v="4"/>
  </r>
  <r>
    <d v="2024-01-09T00:00:00"/>
    <s v="Occur live take media hot."/>
    <x v="1201"/>
    <s v="Entertainment"/>
    <x v="6"/>
    <s v="1436.41"/>
    <x v="0"/>
    <x v="0"/>
    <x v="4"/>
  </r>
  <r>
    <d v="2024-01-09T00:00:00"/>
    <s v="Wife pay good within fly."/>
    <x v="1202"/>
    <s v="Other"/>
    <x v="5"/>
    <s v="880.0"/>
    <x v="1"/>
    <x v="0"/>
    <x v="4"/>
  </r>
  <r>
    <d v="2024-01-10T00:00:00"/>
    <s v="And student give score agree."/>
    <x v="1203"/>
    <s v="Rent"/>
    <x v="2"/>
    <s v="1546.57"/>
    <x v="0"/>
    <x v="0"/>
    <x v="4"/>
  </r>
  <r>
    <d v="2024-01-11T00:00:00"/>
    <s v="Doctor fine be."/>
    <x v="1204"/>
    <s v="Investment"/>
    <x v="3"/>
    <s v="4045.0"/>
    <x v="1"/>
    <x v="0"/>
    <x v="4"/>
  </r>
  <r>
    <d v="2024-01-11T00:00:00"/>
    <s v="Boy college mrs."/>
    <x v="1205"/>
    <s v="Salary"/>
    <x v="8"/>
    <s v="1849.5"/>
    <x v="0"/>
    <x v="0"/>
    <x v="4"/>
  </r>
  <r>
    <d v="2024-01-11T00:00:00"/>
    <s v="Best generation group goal."/>
    <x v="1206"/>
    <s v="Utilities"/>
    <x v="1"/>
    <s v="1928.07"/>
    <x v="0"/>
    <x v="0"/>
    <x v="4"/>
  </r>
  <r>
    <d v="2024-01-12T00:00:00"/>
    <s v="Price institution method inside."/>
    <x v="1207"/>
    <s v="Utilities"/>
    <x v="1"/>
    <s v="1386.72"/>
    <x v="0"/>
    <x v="0"/>
    <x v="4"/>
  </r>
  <r>
    <d v="2024-01-13T00:00:00"/>
    <s v="Onto worry help hope."/>
    <x v="1208"/>
    <s v="Investment"/>
    <x v="3"/>
    <s v="1348.0"/>
    <x v="1"/>
    <x v="0"/>
    <x v="4"/>
  </r>
  <r>
    <d v="2024-01-14T00:00:00"/>
    <s v="Space beyond."/>
    <x v="1209"/>
    <s v="Health &amp; Fitness"/>
    <x v="7"/>
    <s v="1013.18"/>
    <x v="0"/>
    <x v="0"/>
    <x v="4"/>
  </r>
  <r>
    <d v="2024-01-15T00:00:00"/>
    <s v="Market specific property coach."/>
    <x v="1210"/>
    <s v="Entertainment"/>
    <x v="6"/>
    <s v="554.46"/>
    <x v="0"/>
    <x v="0"/>
    <x v="4"/>
  </r>
  <r>
    <d v="2024-01-16T00:00:00"/>
    <s v="Behind front attack song little."/>
    <x v="1211"/>
    <s v="Health &amp; Fitness"/>
    <x v="7"/>
    <s v="1426.63"/>
    <x v="0"/>
    <x v="0"/>
    <x v="4"/>
  </r>
  <r>
    <d v="2024-01-16T00:00:00"/>
    <s v="Degree enter father of source."/>
    <x v="1212"/>
    <s v="Other"/>
    <x v="5"/>
    <s v="4696.0"/>
    <x v="1"/>
    <x v="0"/>
    <x v="4"/>
  </r>
  <r>
    <d v="2024-01-16T00:00:00"/>
    <s v="Wide cut player wind."/>
    <x v="1213"/>
    <s v="Travel"/>
    <x v="9"/>
    <s v="911.16"/>
    <x v="0"/>
    <x v="0"/>
    <x v="4"/>
  </r>
  <r>
    <d v="2024-01-17T00:00:00"/>
    <s v="Somebody prepare few sound."/>
    <x v="1214"/>
    <s v="Entertainment"/>
    <x v="6"/>
    <s v="409.77"/>
    <x v="0"/>
    <x v="0"/>
    <x v="4"/>
  </r>
  <r>
    <d v="2024-01-19T00:00:00"/>
    <s v="Table trade various risk art."/>
    <x v="1215"/>
    <s v="Health &amp; Fitness"/>
    <x v="7"/>
    <s v="1423.6"/>
    <x v="0"/>
    <x v="0"/>
    <x v="4"/>
  </r>
  <r>
    <d v="2024-01-19T00:00:00"/>
    <s v="Finish increase economy middle public."/>
    <x v="1216"/>
    <s v="Travel"/>
    <x v="9"/>
    <s v="1376.36"/>
    <x v="0"/>
    <x v="0"/>
    <x v="4"/>
  </r>
  <r>
    <d v="2024-01-19T00:00:00"/>
    <s v="Thing physical might."/>
    <x v="1217"/>
    <s v="Utilities"/>
    <x v="1"/>
    <s v="1962.86"/>
    <x v="0"/>
    <x v="0"/>
    <x v="4"/>
  </r>
  <r>
    <d v="2024-01-19T00:00:00"/>
    <s v="Material produce station visit environmental."/>
    <x v="1218"/>
    <s v="Utilities"/>
    <x v="1"/>
    <s v="1012.75"/>
    <x v="0"/>
    <x v="0"/>
    <x v="4"/>
  </r>
  <r>
    <d v="2024-01-20T00:00:00"/>
    <s v="Leg drive second she."/>
    <x v="1219"/>
    <s v="Salary"/>
    <x v="8"/>
    <s v="1169.78"/>
    <x v="0"/>
    <x v="0"/>
    <x v="4"/>
  </r>
  <r>
    <d v="2024-01-22T00:00:00"/>
    <s v="Five store ask data."/>
    <x v="1220"/>
    <s v="Shopping"/>
    <x v="4"/>
    <s v="1351.74"/>
    <x v="0"/>
    <x v="0"/>
    <x v="4"/>
  </r>
  <r>
    <d v="2024-01-23T00:00:00"/>
    <s v="Statement position either."/>
    <x v="1221"/>
    <s v="Travel"/>
    <x v="9"/>
    <s v="1756.18"/>
    <x v="0"/>
    <x v="0"/>
    <x v="4"/>
  </r>
  <r>
    <d v="2024-01-24T00:00:00"/>
    <s v="Draw change agree someone."/>
    <x v="1222"/>
    <s v="Food &amp; Drink"/>
    <x v="0"/>
    <s v="1050.23"/>
    <x v="0"/>
    <x v="0"/>
    <x v="4"/>
  </r>
  <r>
    <d v="2024-01-25T00:00:00"/>
    <s v="Magazine yard instead town."/>
    <x v="1223"/>
    <s v="Investment"/>
    <x v="3"/>
    <s v="934.0"/>
    <x v="1"/>
    <x v="0"/>
    <x v="4"/>
  </r>
  <r>
    <d v="2024-01-26T00:00:00"/>
    <s v="Evening ahead smile."/>
    <x v="1224"/>
    <s v="Entertainment"/>
    <x v="6"/>
    <s v="541.29"/>
    <x v="0"/>
    <x v="0"/>
    <x v="4"/>
  </r>
  <r>
    <d v="2024-01-26T00:00:00"/>
    <s v="Own test too imagine."/>
    <x v="1225"/>
    <s v="Investment"/>
    <x v="3"/>
    <s v="2917.0"/>
    <x v="1"/>
    <x v="0"/>
    <x v="4"/>
  </r>
  <r>
    <d v="2024-01-26T00:00:00"/>
    <s v="Compare system white magazine after."/>
    <x v="1226"/>
    <s v="Travel"/>
    <x v="9"/>
    <s v="1369.95"/>
    <x v="0"/>
    <x v="0"/>
    <x v="4"/>
  </r>
  <r>
    <d v="2024-01-27T00:00:00"/>
    <s v="However style."/>
    <x v="1227"/>
    <s v="Food &amp; Drink"/>
    <x v="0"/>
    <s v="723.78"/>
    <x v="0"/>
    <x v="0"/>
    <x v="4"/>
  </r>
  <r>
    <d v="2024-01-28T00:00:00"/>
    <s v="Born same usually."/>
    <x v="1228"/>
    <s v="Entertainment"/>
    <x v="6"/>
    <s v="1487.4"/>
    <x v="0"/>
    <x v="0"/>
    <x v="4"/>
  </r>
  <r>
    <d v="2024-01-30T00:00:00"/>
    <s v="Wear use edge this draw."/>
    <x v="1229"/>
    <s v="Entertainment"/>
    <x v="6"/>
    <s v="1026.74"/>
    <x v="0"/>
    <x v="0"/>
    <x v="4"/>
  </r>
  <r>
    <d v="2024-02-01T00:00:00"/>
    <s v="Forget once hope security."/>
    <x v="1230"/>
    <s v="Travel"/>
    <x v="9"/>
    <s v="1388.94"/>
    <x v="0"/>
    <x v="1"/>
    <x v="4"/>
  </r>
  <r>
    <d v="2024-02-06T00:00:00"/>
    <s v="Design blood degree ever."/>
    <x v="1231"/>
    <s v="Other"/>
    <x v="5"/>
    <s v="3674.0"/>
    <x v="1"/>
    <x v="1"/>
    <x v="4"/>
  </r>
  <r>
    <d v="2024-02-07T00:00:00"/>
    <s v="Television argue mouth."/>
    <x v="1232"/>
    <s v="Health &amp; Fitness"/>
    <x v="7"/>
    <s v="1932.01"/>
    <x v="0"/>
    <x v="1"/>
    <x v="4"/>
  </r>
  <r>
    <d v="2024-02-07T00:00:00"/>
    <s v="Nation little east everyone."/>
    <x v="1233"/>
    <s v="Other"/>
    <x v="5"/>
    <s v="2163.0"/>
    <x v="1"/>
    <x v="1"/>
    <x v="4"/>
  </r>
  <r>
    <d v="2024-02-10T00:00:00"/>
    <s v="Need finally when."/>
    <x v="1234"/>
    <s v="Entertainment"/>
    <x v="6"/>
    <s v="1554.53"/>
    <x v="0"/>
    <x v="1"/>
    <x v="4"/>
  </r>
  <r>
    <d v="2024-02-10T00:00:00"/>
    <s v="Real small."/>
    <x v="1235"/>
    <s v="Health &amp; Fitness"/>
    <x v="7"/>
    <s v="1512.66"/>
    <x v="0"/>
    <x v="1"/>
    <x v="4"/>
  </r>
  <r>
    <d v="2024-02-10T00:00:00"/>
    <s v="Little happy final population."/>
    <x v="1236"/>
    <s v="Salary"/>
    <x v="8"/>
    <s v="1661.67"/>
    <x v="0"/>
    <x v="1"/>
    <x v="4"/>
  </r>
  <r>
    <d v="2024-02-14T00:00:00"/>
    <s v="Until truth feeling view."/>
    <x v="1237"/>
    <s v="Rent"/>
    <x v="2"/>
    <s v="382.08"/>
    <x v="0"/>
    <x v="1"/>
    <x v="4"/>
  </r>
  <r>
    <d v="2024-02-14T00:00:00"/>
    <s v="Movement door kind."/>
    <x v="1238"/>
    <s v="Travel"/>
    <x v="9"/>
    <s v="903.14"/>
    <x v="0"/>
    <x v="1"/>
    <x v="4"/>
  </r>
  <r>
    <d v="2024-02-15T00:00:00"/>
    <s v="Decision three trouble."/>
    <x v="1239"/>
    <s v="Investment"/>
    <x v="3"/>
    <s v="3590.0"/>
    <x v="1"/>
    <x v="1"/>
    <x v="4"/>
  </r>
  <r>
    <d v="2024-02-16T00:00:00"/>
    <s v="Smile ever bag single."/>
    <x v="1240"/>
    <s v="Other"/>
    <x v="5"/>
    <s v="2664.0"/>
    <x v="1"/>
    <x v="1"/>
    <x v="4"/>
  </r>
  <r>
    <d v="2024-02-17T00:00:00"/>
    <s v="Say unit four institution."/>
    <x v="1241"/>
    <s v="Other"/>
    <x v="5"/>
    <s v="546.0"/>
    <x v="1"/>
    <x v="1"/>
    <x v="4"/>
  </r>
  <r>
    <d v="2024-02-19T00:00:00"/>
    <s v="Recognize media goal."/>
    <x v="1242"/>
    <s v="Utilities"/>
    <x v="1"/>
    <s v="89.48"/>
    <x v="0"/>
    <x v="1"/>
    <x v="4"/>
  </r>
  <r>
    <d v="2024-02-21T00:00:00"/>
    <s v="Law agree appear political."/>
    <x v="1243"/>
    <s v="Food &amp; Drink"/>
    <x v="0"/>
    <s v="1549.59"/>
    <x v="0"/>
    <x v="1"/>
    <x v="4"/>
  </r>
  <r>
    <d v="2024-02-21T00:00:00"/>
    <s v="Book economic."/>
    <x v="1244"/>
    <s v="Health &amp; Fitness"/>
    <x v="7"/>
    <s v="155.03"/>
    <x v="0"/>
    <x v="1"/>
    <x v="4"/>
  </r>
  <r>
    <d v="2024-02-21T00:00:00"/>
    <s v="Able customer figure."/>
    <x v="1245"/>
    <s v="Travel"/>
    <x v="9"/>
    <s v="986.2"/>
    <x v="0"/>
    <x v="1"/>
    <x v="4"/>
  </r>
  <r>
    <d v="2024-02-22T00:00:00"/>
    <s v="Rate society floor long same."/>
    <x v="1246"/>
    <s v="Entertainment"/>
    <x v="6"/>
    <s v="1914.41"/>
    <x v="0"/>
    <x v="1"/>
    <x v="4"/>
  </r>
  <r>
    <d v="2024-02-23T00:00:00"/>
    <s v="Increase consider."/>
    <x v="1247"/>
    <s v="Rent"/>
    <x v="2"/>
    <s v="705.31"/>
    <x v="0"/>
    <x v="1"/>
    <x v="4"/>
  </r>
  <r>
    <d v="2024-02-23T00:00:00"/>
    <s v="Reach step son."/>
    <x v="1248"/>
    <s v="Utilities"/>
    <x v="1"/>
    <s v="837.7"/>
    <x v="0"/>
    <x v="1"/>
    <x v="4"/>
  </r>
  <r>
    <d v="2024-02-24T00:00:00"/>
    <s v="Difference way type positive phone."/>
    <x v="1249"/>
    <s v="Health &amp; Fitness"/>
    <x v="7"/>
    <s v="668.82"/>
    <x v="0"/>
    <x v="1"/>
    <x v="4"/>
  </r>
  <r>
    <d v="2024-02-24T00:00:00"/>
    <s v="Cup red collection husband."/>
    <x v="1250"/>
    <s v="Salary"/>
    <x v="8"/>
    <s v="1993.3"/>
    <x v="0"/>
    <x v="1"/>
    <x v="4"/>
  </r>
  <r>
    <d v="2024-02-25T00:00:00"/>
    <s v="Employee become happy water bring."/>
    <x v="1251"/>
    <s v="Food &amp; Drink"/>
    <x v="0"/>
    <s v="238.3"/>
    <x v="0"/>
    <x v="1"/>
    <x v="4"/>
  </r>
  <r>
    <d v="2024-02-27T00:00:00"/>
    <s v="Significant up still management."/>
    <x v="1252"/>
    <s v="Entertainment"/>
    <x v="6"/>
    <s v="1809.95"/>
    <x v="0"/>
    <x v="1"/>
    <x v="4"/>
  </r>
  <r>
    <d v="2024-02-27T00:00:00"/>
    <s v="Course technology site."/>
    <x v="1253"/>
    <s v="Entertainment"/>
    <x v="6"/>
    <s v="1918.2"/>
    <x v="0"/>
    <x v="1"/>
    <x v="4"/>
  </r>
  <r>
    <d v="2024-02-27T00:00:00"/>
    <s v="High issue deal democratic."/>
    <x v="1254"/>
    <s v="Health &amp; Fitness"/>
    <x v="7"/>
    <s v="768.93"/>
    <x v="0"/>
    <x v="1"/>
    <x v="4"/>
  </r>
  <r>
    <d v="2024-02-28T00:00:00"/>
    <s v="Industry impact certainly."/>
    <x v="1255"/>
    <s v="Rent"/>
    <x v="2"/>
    <s v="777.89"/>
    <x v="0"/>
    <x v="1"/>
    <x v="4"/>
  </r>
  <r>
    <d v="2024-02-29T00:00:00"/>
    <s v="Dog late eat."/>
    <x v="1256"/>
    <s v="Travel"/>
    <x v="9"/>
    <s v="59.16"/>
    <x v="0"/>
    <x v="1"/>
    <x v="4"/>
  </r>
  <r>
    <d v="2024-03-02T00:00:00"/>
    <s v="Beat light the window."/>
    <x v="1257"/>
    <s v="Health &amp; Fitness"/>
    <x v="7"/>
    <s v="1033.48"/>
    <x v="0"/>
    <x v="2"/>
    <x v="4"/>
  </r>
  <r>
    <d v="2024-03-03T00:00:00"/>
    <s v="Require remain save."/>
    <x v="1258"/>
    <s v="Salary"/>
    <x v="8"/>
    <s v="97.26"/>
    <x v="0"/>
    <x v="2"/>
    <x v="4"/>
  </r>
  <r>
    <d v="2024-03-05T00:00:00"/>
    <s v="Believe arrive."/>
    <x v="1259"/>
    <s v="Entertainment"/>
    <x v="6"/>
    <s v="647.42"/>
    <x v="0"/>
    <x v="2"/>
    <x v="4"/>
  </r>
  <r>
    <d v="2024-03-05T00:00:00"/>
    <s v="Likely great paper."/>
    <x v="1260"/>
    <s v="Investment"/>
    <x v="3"/>
    <s v="1871.0"/>
    <x v="1"/>
    <x v="2"/>
    <x v="4"/>
  </r>
  <r>
    <d v="2024-03-06T00:00:00"/>
    <s v="Provide car throughout american."/>
    <x v="1261"/>
    <s v="Entertainment"/>
    <x v="6"/>
    <s v="1731.25"/>
    <x v="0"/>
    <x v="2"/>
    <x v="4"/>
  </r>
  <r>
    <d v="2024-03-06T00:00:00"/>
    <s v="Effect people."/>
    <x v="1262"/>
    <s v="Food &amp; Drink"/>
    <x v="0"/>
    <s v="1257.6"/>
    <x v="0"/>
    <x v="2"/>
    <x v="4"/>
  </r>
  <r>
    <d v="2024-03-06T00:00:00"/>
    <s v="College manage fund."/>
    <x v="1263"/>
    <s v="Rent"/>
    <x v="2"/>
    <s v="419.1"/>
    <x v="0"/>
    <x v="2"/>
    <x v="4"/>
  </r>
  <r>
    <d v="2024-03-07T00:00:00"/>
    <s v="Bed report item."/>
    <x v="1264"/>
    <s v="Shopping"/>
    <x v="4"/>
    <s v="1296.66"/>
    <x v="0"/>
    <x v="2"/>
    <x v="4"/>
  </r>
  <r>
    <d v="2024-03-07T00:00:00"/>
    <s v="Finish without."/>
    <x v="1265"/>
    <s v="Utilities"/>
    <x v="1"/>
    <s v="57.27"/>
    <x v="0"/>
    <x v="2"/>
    <x v="4"/>
  </r>
  <r>
    <d v="2024-03-08T00:00:00"/>
    <s v="Security unit executive."/>
    <x v="1266"/>
    <s v="Food &amp; Drink"/>
    <x v="0"/>
    <s v="184.17"/>
    <x v="0"/>
    <x v="2"/>
    <x v="4"/>
  </r>
  <r>
    <d v="2024-03-11T00:00:00"/>
    <s v="Stop unit might job close."/>
    <x v="1267"/>
    <s v="Other"/>
    <x v="5"/>
    <s v="1077.0"/>
    <x v="1"/>
    <x v="2"/>
    <x v="4"/>
  </r>
  <r>
    <d v="2024-03-13T00:00:00"/>
    <s v="New type pm."/>
    <x v="1268"/>
    <s v="Entertainment"/>
    <x v="6"/>
    <s v="1822.86"/>
    <x v="0"/>
    <x v="2"/>
    <x v="4"/>
  </r>
  <r>
    <d v="2024-03-15T00:00:00"/>
    <s v="Country approach."/>
    <x v="1269"/>
    <s v="Salary"/>
    <x v="8"/>
    <s v="1264.13"/>
    <x v="0"/>
    <x v="2"/>
    <x v="4"/>
  </r>
  <r>
    <d v="2024-03-16T00:00:00"/>
    <s v="Like clear."/>
    <x v="1270"/>
    <s v="Food &amp; Drink"/>
    <x v="0"/>
    <s v="785.11"/>
    <x v="0"/>
    <x v="2"/>
    <x v="4"/>
  </r>
  <r>
    <d v="2024-03-18T00:00:00"/>
    <s v="Break time manager kid."/>
    <x v="1271"/>
    <s v="Investment"/>
    <x v="3"/>
    <s v="1018.0"/>
    <x v="1"/>
    <x v="2"/>
    <x v="4"/>
  </r>
  <r>
    <d v="2024-03-26T00:00:00"/>
    <s v="Leader both rest challenge."/>
    <x v="1272"/>
    <s v="Food &amp; Drink"/>
    <x v="0"/>
    <s v="1404.76"/>
    <x v="0"/>
    <x v="2"/>
    <x v="4"/>
  </r>
  <r>
    <d v="2024-03-27T00:00:00"/>
    <s v="Data exist."/>
    <x v="1273"/>
    <s v="Investment"/>
    <x v="3"/>
    <s v="2874.0"/>
    <x v="1"/>
    <x v="2"/>
    <x v="4"/>
  </r>
  <r>
    <d v="2024-03-28T00:00:00"/>
    <s v="State none production defense your."/>
    <x v="1274"/>
    <s v="Travel"/>
    <x v="9"/>
    <s v="1217.07"/>
    <x v="0"/>
    <x v="2"/>
    <x v="4"/>
  </r>
  <r>
    <d v="2024-03-29T00:00:00"/>
    <s v="Short congress turn east marriage."/>
    <x v="1275"/>
    <s v="Salary"/>
    <x v="8"/>
    <s v="769.01"/>
    <x v="0"/>
    <x v="2"/>
    <x v="4"/>
  </r>
  <r>
    <d v="2024-03-30T00:00:00"/>
    <s v="Ago race quite hour."/>
    <x v="1276"/>
    <s v="Food &amp; Drink"/>
    <x v="0"/>
    <s v="953.24"/>
    <x v="0"/>
    <x v="2"/>
    <x v="4"/>
  </r>
  <r>
    <d v="2024-03-30T00:00:00"/>
    <s v="Child ball store process."/>
    <x v="1277"/>
    <s v="Utilities"/>
    <x v="1"/>
    <s v="1496.04"/>
    <x v="0"/>
    <x v="2"/>
    <x v="4"/>
  </r>
  <r>
    <d v="2024-04-03T00:00:00"/>
    <s v="Western order accept wide prevent."/>
    <x v="1278"/>
    <s v="Travel"/>
    <x v="9"/>
    <s v="1920.67"/>
    <x v="0"/>
    <x v="3"/>
    <x v="4"/>
  </r>
  <r>
    <d v="2024-04-04T00:00:00"/>
    <s v="Water yourself trade someone."/>
    <x v="1279"/>
    <s v="Other"/>
    <x v="5"/>
    <s v="591.0"/>
    <x v="1"/>
    <x v="3"/>
    <x v="4"/>
  </r>
  <r>
    <d v="2024-04-06T00:00:00"/>
    <s v="Tell soon executive."/>
    <x v="1280"/>
    <s v="Utilities"/>
    <x v="1"/>
    <s v="255.24"/>
    <x v="0"/>
    <x v="3"/>
    <x v="4"/>
  </r>
  <r>
    <d v="2024-04-07T00:00:00"/>
    <s v="Natural own."/>
    <x v="1281"/>
    <s v="Other"/>
    <x v="5"/>
    <s v="4900.0"/>
    <x v="1"/>
    <x v="3"/>
    <x v="4"/>
  </r>
  <r>
    <d v="2024-04-08T00:00:00"/>
    <s v="Effort drive side human."/>
    <x v="1282"/>
    <s v="Rent"/>
    <x v="2"/>
    <s v="616.34"/>
    <x v="0"/>
    <x v="3"/>
    <x v="4"/>
  </r>
  <r>
    <d v="2024-04-09T00:00:00"/>
    <s v="Clear single expect."/>
    <x v="1283"/>
    <s v="Health &amp; Fitness"/>
    <x v="7"/>
    <s v="431.36"/>
    <x v="0"/>
    <x v="3"/>
    <x v="4"/>
  </r>
  <r>
    <d v="2024-04-09T00:00:00"/>
    <s v="Fear song save."/>
    <x v="1284"/>
    <s v="Utilities"/>
    <x v="1"/>
    <s v="330.3"/>
    <x v="0"/>
    <x v="3"/>
    <x v="4"/>
  </r>
  <r>
    <d v="2024-04-10T00:00:00"/>
    <s v="Environmental outside bed institution."/>
    <x v="1285"/>
    <s v="Investment"/>
    <x v="3"/>
    <s v="4996.0"/>
    <x v="1"/>
    <x v="3"/>
    <x v="4"/>
  </r>
  <r>
    <d v="2024-04-10T00:00:00"/>
    <s v="Capital program story mention majority."/>
    <x v="1286"/>
    <s v="Travel"/>
    <x v="9"/>
    <s v="396.71"/>
    <x v="0"/>
    <x v="3"/>
    <x v="4"/>
  </r>
  <r>
    <d v="2024-04-11T00:00:00"/>
    <s v="Control piece behavior message wind."/>
    <x v="1287"/>
    <s v="Rent"/>
    <x v="2"/>
    <s v="588.4"/>
    <x v="0"/>
    <x v="3"/>
    <x v="4"/>
  </r>
  <r>
    <d v="2024-04-13T00:00:00"/>
    <s v="Us money positive."/>
    <x v="1288"/>
    <s v="Investment"/>
    <x v="3"/>
    <s v="2117.0"/>
    <x v="1"/>
    <x v="3"/>
    <x v="4"/>
  </r>
  <r>
    <d v="2024-04-16T00:00:00"/>
    <s v="Life bad soon."/>
    <x v="1289"/>
    <s v="Salary"/>
    <x v="8"/>
    <s v="1903.56"/>
    <x v="0"/>
    <x v="3"/>
    <x v="4"/>
  </r>
  <r>
    <d v="2024-04-17T00:00:00"/>
    <s v="Worker range feel."/>
    <x v="1290"/>
    <s v="Entertainment"/>
    <x v="6"/>
    <s v="209.09"/>
    <x v="0"/>
    <x v="3"/>
    <x v="4"/>
  </r>
  <r>
    <d v="2024-04-17T00:00:00"/>
    <s v="Into notice necessary true message."/>
    <x v="1291"/>
    <s v="Entertainment"/>
    <x v="6"/>
    <s v="642.39"/>
    <x v="0"/>
    <x v="3"/>
    <x v="4"/>
  </r>
  <r>
    <d v="2024-04-17T00:00:00"/>
    <s v="Including let result spend."/>
    <x v="1292"/>
    <s v="Travel"/>
    <x v="9"/>
    <s v="1389.98"/>
    <x v="0"/>
    <x v="3"/>
    <x v="4"/>
  </r>
  <r>
    <d v="2024-04-18T00:00:00"/>
    <s v="One shoulder administration."/>
    <x v="1293"/>
    <s v="Other"/>
    <x v="5"/>
    <s v="3091.0"/>
    <x v="1"/>
    <x v="3"/>
    <x v="4"/>
  </r>
  <r>
    <d v="2024-04-20T00:00:00"/>
    <s v="Skill successful and."/>
    <x v="1294"/>
    <s v="Utilities"/>
    <x v="1"/>
    <s v="19.62"/>
    <x v="0"/>
    <x v="3"/>
    <x v="4"/>
  </r>
  <r>
    <d v="2024-04-21T00:00:00"/>
    <s v="Finish right serious."/>
    <x v="1295"/>
    <s v="Entertainment"/>
    <x v="6"/>
    <s v="1427.28"/>
    <x v="0"/>
    <x v="3"/>
    <x v="4"/>
  </r>
  <r>
    <d v="2024-04-22T00:00:00"/>
    <s v="Space game truth special decision."/>
    <x v="1296"/>
    <s v="Travel"/>
    <x v="9"/>
    <s v="1681.82"/>
    <x v="0"/>
    <x v="3"/>
    <x v="4"/>
  </r>
  <r>
    <d v="2024-04-23T00:00:00"/>
    <s v="Else pull its adult house."/>
    <x v="1297"/>
    <s v="Other"/>
    <x v="5"/>
    <s v="4431.0"/>
    <x v="1"/>
    <x v="3"/>
    <x v="4"/>
  </r>
  <r>
    <d v="2024-04-25T00:00:00"/>
    <s v="Pretty least if."/>
    <x v="1298"/>
    <s v="Health &amp; Fitness"/>
    <x v="7"/>
    <s v="1551.79"/>
    <x v="0"/>
    <x v="3"/>
    <x v="4"/>
  </r>
  <r>
    <d v="2024-04-26T00:00:00"/>
    <s v="Peace wind guess."/>
    <x v="1299"/>
    <s v="Rent"/>
    <x v="2"/>
    <s v="359.78"/>
    <x v="0"/>
    <x v="3"/>
    <x v="4"/>
  </r>
  <r>
    <d v="2024-04-26T00:00:00"/>
    <s v="Because career course."/>
    <x v="1300"/>
    <s v="Travel"/>
    <x v="9"/>
    <s v="1718.84"/>
    <x v="0"/>
    <x v="3"/>
    <x v="4"/>
  </r>
  <r>
    <d v="2024-04-30T00:00:00"/>
    <s v="Teacher decide possible."/>
    <x v="1301"/>
    <s v="Investment"/>
    <x v="3"/>
    <s v="2656.0"/>
    <x v="1"/>
    <x v="3"/>
    <x v="4"/>
  </r>
  <r>
    <d v="2024-05-02T00:00:00"/>
    <s v="Success teach mrs beat."/>
    <x v="1302"/>
    <s v="Rent"/>
    <x v="2"/>
    <s v="1457.58"/>
    <x v="0"/>
    <x v="4"/>
    <x v="4"/>
  </r>
  <r>
    <d v="2024-05-03T00:00:00"/>
    <s v="Listen against coach."/>
    <x v="1303"/>
    <s v="Food &amp; Drink"/>
    <x v="0"/>
    <s v="1627.16"/>
    <x v="0"/>
    <x v="4"/>
    <x v="4"/>
  </r>
  <r>
    <d v="2024-05-04T00:00:00"/>
    <s v="White likely teacher one."/>
    <x v="1304"/>
    <s v="Entertainment"/>
    <x v="6"/>
    <s v="1813.54"/>
    <x v="0"/>
    <x v="4"/>
    <x v="4"/>
  </r>
  <r>
    <d v="2024-05-04T00:00:00"/>
    <s v="Notice street anything."/>
    <x v="1305"/>
    <s v="Salary"/>
    <x v="8"/>
    <s v="1311.28"/>
    <x v="0"/>
    <x v="4"/>
    <x v="4"/>
  </r>
  <r>
    <d v="2024-05-05T00:00:00"/>
    <s v="Piece require."/>
    <x v="1306"/>
    <s v="Other"/>
    <x v="5"/>
    <s v="2329.0"/>
    <x v="1"/>
    <x v="4"/>
    <x v="4"/>
  </r>
  <r>
    <d v="2024-05-05T00:00:00"/>
    <s v="Say other never fact."/>
    <x v="1307"/>
    <s v="Travel"/>
    <x v="9"/>
    <s v="276.42"/>
    <x v="0"/>
    <x v="4"/>
    <x v="4"/>
  </r>
  <r>
    <d v="2024-05-14T00:00:00"/>
    <s v="Main opportunity particularly question."/>
    <x v="1308"/>
    <s v="Rent"/>
    <x v="2"/>
    <s v="799.6"/>
    <x v="0"/>
    <x v="4"/>
    <x v="4"/>
  </r>
  <r>
    <d v="2024-05-15T00:00:00"/>
    <s v="Research month instead."/>
    <x v="1309"/>
    <s v="Entertainment"/>
    <x v="6"/>
    <s v="1697.48"/>
    <x v="0"/>
    <x v="4"/>
    <x v="4"/>
  </r>
  <r>
    <d v="2024-05-17T00:00:00"/>
    <s v="As throughout individual list manager."/>
    <x v="1310"/>
    <s v="Utilities"/>
    <x v="1"/>
    <s v="1516.84"/>
    <x v="0"/>
    <x v="4"/>
    <x v="4"/>
  </r>
  <r>
    <d v="2024-05-20T00:00:00"/>
    <s v="Recently again explain court."/>
    <x v="1311"/>
    <s v="Investment"/>
    <x v="3"/>
    <s v="1967.0"/>
    <x v="1"/>
    <x v="4"/>
    <x v="4"/>
  </r>
  <r>
    <d v="2024-05-22T00:00:00"/>
    <s v="Discussion detail training fund."/>
    <x v="1312"/>
    <s v="Utilities"/>
    <x v="1"/>
    <s v="1474.48"/>
    <x v="0"/>
    <x v="4"/>
    <x v="4"/>
  </r>
  <r>
    <d v="2024-05-23T00:00:00"/>
    <s v="Third rich hospital."/>
    <x v="1313"/>
    <s v="Health &amp; Fitness"/>
    <x v="7"/>
    <s v="90.44"/>
    <x v="0"/>
    <x v="4"/>
    <x v="4"/>
  </r>
  <r>
    <d v="2024-05-25T00:00:00"/>
    <s v="Somebody son suddenly perform."/>
    <x v="1314"/>
    <s v="Entertainment"/>
    <x v="6"/>
    <s v="135.09"/>
    <x v="0"/>
    <x v="4"/>
    <x v="4"/>
  </r>
  <r>
    <d v="2024-05-26T00:00:00"/>
    <s v="Project can."/>
    <x v="1315"/>
    <s v="Food &amp; Drink"/>
    <x v="0"/>
    <s v="1340.49"/>
    <x v="0"/>
    <x v="4"/>
    <x v="4"/>
  </r>
  <r>
    <d v="2024-05-27T00:00:00"/>
    <s v="Doctor news yourself."/>
    <x v="1316"/>
    <s v="Food &amp; Drink"/>
    <x v="0"/>
    <s v="89.41"/>
    <x v="0"/>
    <x v="4"/>
    <x v="4"/>
  </r>
  <r>
    <d v="2024-05-27T00:00:00"/>
    <s v="Paper beyond indeed."/>
    <x v="1317"/>
    <s v="Health &amp; Fitness"/>
    <x v="7"/>
    <s v="782.31"/>
    <x v="0"/>
    <x v="4"/>
    <x v="4"/>
  </r>
  <r>
    <d v="2024-05-31T00:00:00"/>
    <s v="Ground city still."/>
    <x v="1318"/>
    <s v="Rent"/>
    <x v="2"/>
    <s v="1410.44"/>
    <x v="0"/>
    <x v="4"/>
    <x v="4"/>
  </r>
  <r>
    <d v="2024-06-01T00:00:00"/>
    <s v="Southern front."/>
    <x v="1319"/>
    <s v="Travel"/>
    <x v="9"/>
    <s v="1671.4"/>
    <x v="0"/>
    <x v="5"/>
    <x v="4"/>
  </r>
  <r>
    <d v="2024-06-02T00:00:00"/>
    <s v="Environment character real middle prove."/>
    <x v="1320"/>
    <s v="Rent"/>
    <x v="2"/>
    <s v="1038.16"/>
    <x v="0"/>
    <x v="5"/>
    <x v="4"/>
  </r>
  <r>
    <d v="2024-06-02T00:00:00"/>
    <s v="Dinner no main year size."/>
    <x v="1321"/>
    <s v="Utilities"/>
    <x v="1"/>
    <s v="759.55"/>
    <x v="0"/>
    <x v="5"/>
    <x v="4"/>
  </r>
  <r>
    <d v="2024-06-03T00:00:00"/>
    <s v="Sometimes while sense window."/>
    <x v="1322"/>
    <s v="Entertainment"/>
    <x v="6"/>
    <s v="1037.58"/>
    <x v="0"/>
    <x v="5"/>
    <x v="4"/>
  </r>
  <r>
    <d v="2024-06-04T00:00:00"/>
    <s v="Among black picture that treat."/>
    <x v="1323"/>
    <s v="Health &amp; Fitness"/>
    <x v="7"/>
    <s v="978.85"/>
    <x v="0"/>
    <x v="5"/>
    <x v="4"/>
  </r>
  <r>
    <d v="2024-06-06T00:00:00"/>
    <s v="Remain seven marriage."/>
    <x v="1324"/>
    <s v="Food &amp; Drink"/>
    <x v="0"/>
    <s v="1008.66"/>
    <x v="0"/>
    <x v="5"/>
    <x v="4"/>
  </r>
  <r>
    <d v="2024-06-07T00:00:00"/>
    <s v="Positive free case."/>
    <x v="1325"/>
    <s v="Investment"/>
    <x v="3"/>
    <s v="2384.0"/>
    <x v="1"/>
    <x v="5"/>
    <x v="4"/>
  </r>
  <r>
    <d v="2024-06-09T00:00:00"/>
    <s v="Wide shoulder according strong."/>
    <x v="1326"/>
    <s v="Other"/>
    <x v="5"/>
    <s v="2232.0"/>
    <x v="1"/>
    <x v="5"/>
    <x v="4"/>
  </r>
  <r>
    <d v="2024-06-10T00:00:00"/>
    <s v="Expert commercial entire resource."/>
    <x v="1327"/>
    <s v="Investment"/>
    <x v="3"/>
    <s v="3467.0"/>
    <x v="1"/>
    <x v="5"/>
    <x v="4"/>
  </r>
  <r>
    <d v="2024-06-12T00:00:00"/>
    <s v="Picture early send morning."/>
    <x v="1328"/>
    <s v="Rent"/>
    <x v="2"/>
    <s v="1325.61"/>
    <x v="0"/>
    <x v="5"/>
    <x v="4"/>
  </r>
  <r>
    <d v="2024-06-13T00:00:00"/>
    <s v="Soon including important."/>
    <x v="1329"/>
    <s v="Health &amp; Fitness"/>
    <x v="7"/>
    <s v="1443.31"/>
    <x v="0"/>
    <x v="5"/>
    <x v="4"/>
  </r>
  <r>
    <d v="2024-06-13T00:00:00"/>
    <s v="Some gun ahead certainly act."/>
    <x v="1330"/>
    <s v="Salary"/>
    <x v="8"/>
    <s v="963.25"/>
    <x v="0"/>
    <x v="5"/>
    <x v="4"/>
  </r>
  <r>
    <d v="2024-06-14T00:00:00"/>
    <s v="Be fire."/>
    <x v="1331"/>
    <s v="Shopping"/>
    <x v="4"/>
    <s v="54.67"/>
    <x v="0"/>
    <x v="5"/>
    <x v="4"/>
  </r>
  <r>
    <d v="2024-06-15T00:00:00"/>
    <s v="Article service produce political."/>
    <x v="1332"/>
    <s v="Investment"/>
    <x v="3"/>
    <s v="1603.0"/>
    <x v="1"/>
    <x v="5"/>
    <x v="4"/>
  </r>
  <r>
    <d v="2024-06-16T00:00:00"/>
    <s v="Within woman."/>
    <x v="1333"/>
    <s v="Food &amp; Drink"/>
    <x v="0"/>
    <s v="1782.69"/>
    <x v="0"/>
    <x v="5"/>
    <x v="4"/>
  </r>
  <r>
    <d v="2024-06-17T00:00:00"/>
    <s v="Information though red."/>
    <x v="1334"/>
    <s v="Investment"/>
    <x v="3"/>
    <s v="2615.0"/>
    <x v="1"/>
    <x v="5"/>
    <x v="4"/>
  </r>
  <r>
    <d v="2024-06-21T00:00:00"/>
    <s v="Land day name small."/>
    <x v="1335"/>
    <s v="Food &amp; Drink"/>
    <x v="0"/>
    <s v="1758.23"/>
    <x v="0"/>
    <x v="5"/>
    <x v="4"/>
  </r>
  <r>
    <d v="2024-06-21T00:00:00"/>
    <s v="Training account evidence month."/>
    <x v="1336"/>
    <s v="Shopping"/>
    <x v="4"/>
    <s v="1202.72"/>
    <x v="0"/>
    <x v="5"/>
    <x v="4"/>
  </r>
  <r>
    <d v="2024-06-22T00:00:00"/>
    <s v="Thought sit identify culture."/>
    <x v="1337"/>
    <s v="Travel"/>
    <x v="9"/>
    <s v="1895.04"/>
    <x v="0"/>
    <x v="5"/>
    <x v="4"/>
  </r>
  <r>
    <d v="2024-06-23T00:00:00"/>
    <s v="Yeah exist behavior necessary miss."/>
    <x v="1338"/>
    <s v="Other"/>
    <x v="5"/>
    <s v="1669.0"/>
    <x v="1"/>
    <x v="5"/>
    <x v="4"/>
  </r>
  <r>
    <d v="2024-06-23T00:00:00"/>
    <s v="Already free."/>
    <x v="1339"/>
    <s v="Salary"/>
    <x v="8"/>
    <s v="1735.93"/>
    <x v="0"/>
    <x v="5"/>
    <x v="4"/>
  </r>
  <r>
    <d v="2024-06-23T00:00:00"/>
    <s v="Rule success."/>
    <x v="1340"/>
    <s v="Salary"/>
    <x v="8"/>
    <s v="1197.1"/>
    <x v="0"/>
    <x v="5"/>
    <x v="4"/>
  </r>
  <r>
    <d v="2024-06-23T00:00:00"/>
    <s v="Agreement someone."/>
    <x v="1341"/>
    <s v="Utilities"/>
    <x v="1"/>
    <s v="1250.19"/>
    <x v="0"/>
    <x v="5"/>
    <x v="4"/>
  </r>
  <r>
    <d v="2024-06-23T00:00:00"/>
    <s v="Strategy fight institution."/>
    <x v="1342"/>
    <s v="Utilities"/>
    <x v="1"/>
    <s v="1451.13"/>
    <x v="0"/>
    <x v="5"/>
    <x v="4"/>
  </r>
  <r>
    <d v="2024-07-01T00:00:00"/>
    <s v="Medical buy series walk large."/>
    <x v="1343"/>
    <s v="Other"/>
    <x v="5"/>
    <s v="3657.0"/>
    <x v="1"/>
    <x v="6"/>
    <x v="4"/>
  </r>
  <r>
    <d v="2024-07-05T00:00:00"/>
    <s v="Law work."/>
    <x v="1344"/>
    <s v="Investment"/>
    <x v="3"/>
    <s v="2157.0"/>
    <x v="1"/>
    <x v="6"/>
    <x v="4"/>
  </r>
  <r>
    <d v="2024-07-06T00:00:00"/>
    <s v="Research visit program suddenly doctor."/>
    <x v="1345"/>
    <s v="Shopping"/>
    <x v="4"/>
    <s v="1654.76"/>
    <x v="0"/>
    <x v="6"/>
    <x v="4"/>
  </r>
  <r>
    <d v="2024-07-07T00:00:00"/>
    <s v="Mind easy foreign old."/>
    <x v="1346"/>
    <s v="Food &amp; Drink"/>
    <x v="0"/>
    <s v="1756.73"/>
    <x v="0"/>
    <x v="6"/>
    <x v="4"/>
  </r>
  <r>
    <d v="2024-07-07T00:00:00"/>
    <s v="Thousand live land hard."/>
    <x v="1347"/>
    <s v="Food &amp; Drink"/>
    <x v="0"/>
    <s v="1794.97"/>
    <x v="0"/>
    <x v="6"/>
    <x v="4"/>
  </r>
  <r>
    <d v="2024-07-07T00:00:00"/>
    <s v="Better republican stock bank."/>
    <x v="1348"/>
    <s v="Rent"/>
    <x v="2"/>
    <s v="195.45"/>
    <x v="0"/>
    <x v="6"/>
    <x v="4"/>
  </r>
  <r>
    <d v="2024-07-07T00:00:00"/>
    <s v="Project spring of."/>
    <x v="1349"/>
    <s v="Utilities"/>
    <x v="1"/>
    <s v="956.98"/>
    <x v="0"/>
    <x v="6"/>
    <x v="4"/>
  </r>
  <r>
    <d v="2024-07-13T00:00:00"/>
    <s v="You ready way rule."/>
    <x v="1350"/>
    <s v="Food &amp; Drink"/>
    <x v="0"/>
    <s v="1398.31"/>
    <x v="0"/>
    <x v="6"/>
    <x v="4"/>
  </r>
  <r>
    <d v="2024-07-13T00:00:00"/>
    <s v="Open million house enough."/>
    <x v="1351"/>
    <s v="Shopping"/>
    <x v="4"/>
    <s v="1048.87"/>
    <x v="0"/>
    <x v="6"/>
    <x v="4"/>
  </r>
  <r>
    <d v="2024-07-16T00:00:00"/>
    <s v="Certain camera represent."/>
    <x v="1352"/>
    <s v="Salary"/>
    <x v="8"/>
    <s v="1581.22"/>
    <x v="0"/>
    <x v="6"/>
    <x v="4"/>
  </r>
  <r>
    <d v="2024-07-20T00:00:00"/>
    <s v="Tell brother defense list second."/>
    <x v="1353"/>
    <s v="Rent"/>
    <x v="2"/>
    <s v="856.72"/>
    <x v="0"/>
    <x v="6"/>
    <x v="4"/>
  </r>
  <r>
    <d v="2024-07-21T00:00:00"/>
    <s v="Tv budget system book."/>
    <x v="1354"/>
    <s v="Entertainment"/>
    <x v="6"/>
    <s v="1821.07"/>
    <x v="0"/>
    <x v="6"/>
    <x v="4"/>
  </r>
  <r>
    <d v="2024-07-22T00:00:00"/>
    <s v="Face mission brother figure hear."/>
    <x v="1355"/>
    <s v="Other"/>
    <x v="5"/>
    <s v="2611.0"/>
    <x v="1"/>
    <x v="6"/>
    <x v="4"/>
  </r>
  <r>
    <d v="2024-07-23T00:00:00"/>
    <s v="Agreement central six instead."/>
    <x v="1356"/>
    <s v="Investment"/>
    <x v="3"/>
    <s v="4780.0"/>
    <x v="1"/>
    <x v="6"/>
    <x v="4"/>
  </r>
  <r>
    <d v="2024-07-23T00:00:00"/>
    <s v="Democratic standard major."/>
    <x v="1357"/>
    <s v="Investment"/>
    <x v="3"/>
    <s v="3572.0"/>
    <x v="1"/>
    <x v="6"/>
    <x v="4"/>
  </r>
  <r>
    <d v="2024-07-25T00:00:00"/>
    <s v="Give that individual of not."/>
    <x v="1358"/>
    <s v="Health &amp; Fitness"/>
    <x v="7"/>
    <s v="823.6"/>
    <x v="0"/>
    <x v="6"/>
    <x v="4"/>
  </r>
  <r>
    <d v="2024-07-26T00:00:00"/>
    <s v="Little result paper seven."/>
    <x v="1359"/>
    <s v="Other"/>
    <x v="5"/>
    <s v="2577.0"/>
    <x v="1"/>
    <x v="6"/>
    <x v="4"/>
  </r>
  <r>
    <d v="2024-07-26T00:00:00"/>
    <s v="Position tend religious."/>
    <x v="1360"/>
    <s v="Salary"/>
    <x v="8"/>
    <s v="365.65"/>
    <x v="0"/>
    <x v="6"/>
    <x v="4"/>
  </r>
  <r>
    <d v="2024-07-26T00:00:00"/>
    <s v="Seven project chance road."/>
    <x v="1361"/>
    <s v="Shopping"/>
    <x v="4"/>
    <s v="1133.69"/>
    <x v="0"/>
    <x v="6"/>
    <x v="4"/>
  </r>
  <r>
    <d v="2024-07-26T00:00:00"/>
    <s v="Professor important do house must."/>
    <x v="1362"/>
    <s v="Shopping"/>
    <x v="4"/>
    <s v="1512.39"/>
    <x v="0"/>
    <x v="6"/>
    <x v="4"/>
  </r>
  <r>
    <d v="2024-07-27T00:00:00"/>
    <s v="My serious whatever miss seek."/>
    <x v="1363"/>
    <s v="Health &amp; Fitness"/>
    <x v="7"/>
    <s v="1550.65"/>
    <x v="0"/>
    <x v="6"/>
    <x v="4"/>
  </r>
  <r>
    <d v="2024-07-27T00:00:00"/>
    <s v="Someone religious night buy nice."/>
    <x v="1364"/>
    <s v="Salary"/>
    <x v="8"/>
    <s v="515.02"/>
    <x v="0"/>
    <x v="6"/>
    <x v="4"/>
  </r>
  <r>
    <d v="2024-07-27T00:00:00"/>
    <s v="Build view."/>
    <x v="1365"/>
    <s v="Utilities"/>
    <x v="1"/>
    <s v="1711.45"/>
    <x v="0"/>
    <x v="6"/>
    <x v="4"/>
  </r>
  <r>
    <d v="2024-07-28T00:00:00"/>
    <s v="Ever day."/>
    <x v="1366"/>
    <s v="Entertainment"/>
    <x v="6"/>
    <s v="898.72"/>
    <x v="0"/>
    <x v="6"/>
    <x v="4"/>
  </r>
  <r>
    <d v="2024-07-28T00:00:00"/>
    <s v="Be move fly open."/>
    <x v="1367"/>
    <s v="Utilities"/>
    <x v="1"/>
    <s v="209.55"/>
    <x v="0"/>
    <x v="6"/>
    <x v="4"/>
  </r>
  <r>
    <d v="2024-07-29T00:00:00"/>
    <s v="Fish either boy between collection."/>
    <x v="1368"/>
    <s v="Food &amp; Drink"/>
    <x v="0"/>
    <s v="329.87"/>
    <x v="0"/>
    <x v="6"/>
    <x v="4"/>
  </r>
  <r>
    <d v="2024-07-29T00:00:00"/>
    <s v="Eight bed fill."/>
    <x v="1369"/>
    <s v="Food &amp; Drink"/>
    <x v="0"/>
    <s v="1610.7"/>
    <x v="0"/>
    <x v="6"/>
    <x v="4"/>
  </r>
  <r>
    <d v="2024-07-29T00:00:00"/>
    <s v="Future congress."/>
    <x v="1370"/>
    <s v="Health &amp; Fitness"/>
    <x v="7"/>
    <s v="1603.7"/>
    <x v="0"/>
    <x v="6"/>
    <x v="4"/>
  </r>
  <r>
    <d v="2024-07-30T00:00:00"/>
    <s v="Hope floor include."/>
    <x v="1371"/>
    <s v="Rent"/>
    <x v="2"/>
    <s v="533.55"/>
    <x v="0"/>
    <x v="6"/>
    <x v="4"/>
  </r>
  <r>
    <d v="2024-07-30T00:00:00"/>
    <s v="Arrive which consider."/>
    <x v="1372"/>
    <s v="Salary"/>
    <x v="8"/>
    <s v="1852.46"/>
    <x v="0"/>
    <x v="6"/>
    <x v="4"/>
  </r>
  <r>
    <d v="2024-08-01T00:00:00"/>
    <s v="Heart still building."/>
    <x v="1373"/>
    <s v="Food &amp; Drink"/>
    <x v="0"/>
    <s v="1451.74"/>
    <x v="0"/>
    <x v="7"/>
    <x v="4"/>
  </r>
  <r>
    <d v="2024-08-02T00:00:00"/>
    <s v="We especially five network."/>
    <x v="1374"/>
    <s v="Food &amp; Drink"/>
    <x v="0"/>
    <s v="1891.97"/>
    <x v="0"/>
    <x v="7"/>
    <x v="4"/>
  </r>
  <r>
    <d v="2024-08-02T00:00:00"/>
    <s v="Sell only manage."/>
    <x v="1375"/>
    <s v="Shopping"/>
    <x v="4"/>
    <s v="1231.79"/>
    <x v="0"/>
    <x v="7"/>
    <x v="4"/>
  </r>
  <r>
    <d v="2024-08-03T00:00:00"/>
    <s v="Ahead plant trial affect."/>
    <x v="1376"/>
    <s v="Salary"/>
    <x v="8"/>
    <s v="883.55"/>
    <x v="0"/>
    <x v="7"/>
    <x v="4"/>
  </r>
  <r>
    <d v="2024-08-03T00:00:00"/>
    <s v="Push east never size fight."/>
    <x v="1377"/>
    <s v="Travel"/>
    <x v="9"/>
    <s v="397.55"/>
    <x v="0"/>
    <x v="7"/>
    <x v="4"/>
  </r>
  <r>
    <d v="2024-08-08T00:00:00"/>
    <s v="Base player data whose."/>
    <x v="1378"/>
    <s v="Entertainment"/>
    <x v="6"/>
    <s v="1234.23"/>
    <x v="0"/>
    <x v="7"/>
    <x v="4"/>
  </r>
  <r>
    <d v="2024-08-09T00:00:00"/>
    <s v="World site mr interest treatment."/>
    <x v="1379"/>
    <s v="Health &amp; Fitness"/>
    <x v="7"/>
    <s v="486.12"/>
    <x v="0"/>
    <x v="7"/>
    <x v="4"/>
  </r>
  <r>
    <d v="2024-08-11T00:00:00"/>
    <s v="A let."/>
    <x v="1380"/>
    <s v="Investment"/>
    <x v="3"/>
    <s v="1211.0"/>
    <x v="1"/>
    <x v="7"/>
    <x v="4"/>
  </r>
  <r>
    <d v="2024-08-14T00:00:00"/>
    <s v="Yourself successful defense subject."/>
    <x v="1381"/>
    <s v="Entertainment"/>
    <x v="6"/>
    <s v="1040.31"/>
    <x v="0"/>
    <x v="7"/>
    <x v="4"/>
  </r>
  <r>
    <d v="2024-08-14T00:00:00"/>
    <s v="Claim move."/>
    <x v="1382"/>
    <s v="Rent"/>
    <x v="2"/>
    <s v="1839.16"/>
    <x v="0"/>
    <x v="7"/>
    <x v="4"/>
  </r>
  <r>
    <d v="2024-08-14T00:00:00"/>
    <s v="A value lot."/>
    <x v="1383"/>
    <s v="Shopping"/>
    <x v="4"/>
    <s v="712.72"/>
    <x v="0"/>
    <x v="7"/>
    <x v="4"/>
  </r>
  <r>
    <d v="2024-08-15T00:00:00"/>
    <s v="Bed recognize store."/>
    <x v="1384"/>
    <s v="Health &amp; Fitness"/>
    <x v="7"/>
    <s v="701.48"/>
    <x v="0"/>
    <x v="7"/>
    <x v="4"/>
  </r>
  <r>
    <d v="2024-08-22T00:00:00"/>
    <s v="There decision measure."/>
    <x v="1385"/>
    <s v="Entertainment"/>
    <x v="6"/>
    <s v="1216.66"/>
    <x v="0"/>
    <x v="7"/>
    <x v="4"/>
  </r>
  <r>
    <d v="2024-08-23T00:00:00"/>
    <s v="Play woman remain event."/>
    <x v="1386"/>
    <s v="Other"/>
    <x v="5"/>
    <s v="538.0"/>
    <x v="1"/>
    <x v="7"/>
    <x v="4"/>
  </r>
  <r>
    <d v="2024-08-25T00:00:00"/>
    <s v="Including time reflect."/>
    <x v="1387"/>
    <s v="Other"/>
    <x v="5"/>
    <s v="4906.0"/>
    <x v="1"/>
    <x v="7"/>
    <x v="4"/>
  </r>
  <r>
    <d v="2024-08-25T00:00:00"/>
    <s v="Decision where foreign trial."/>
    <x v="1388"/>
    <s v="Shopping"/>
    <x v="4"/>
    <s v="1017.41"/>
    <x v="0"/>
    <x v="7"/>
    <x v="4"/>
  </r>
  <r>
    <d v="2024-08-25T00:00:00"/>
    <s v="Participant above."/>
    <x v="1389"/>
    <s v="Travel"/>
    <x v="9"/>
    <s v="686.53"/>
    <x v="0"/>
    <x v="7"/>
    <x v="4"/>
  </r>
  <r>
    <d v="2024-08-27T00:00:00"/>
    <s v="Good spend still."/>
    <x v="1390"/>
    <s v="Salary"/>
    <x v="8"/>
    <s v="1542.23"/>
    <x v="0"/>
    <x v="7"/>
    <x v="4"/>
  </r>
  <r>
    <d v="2024-08-27T00:00:00"/>
    <s v="Ball theory prepare much throughout."/>
    <x v="1391"/>
    <s v="Travel"/>
    <x v="9"/>
    <s v="1391.44"/>
    <x v="0"/>
    <x v="7"/>
    <x v="4"/>
  </r>
  <r>
    <d v="2024-08-28T00:00:00"/>
    <s v="View know develop after."/>
    <x v="1392"/>
    <s v="Food &amp; Drink"/>
    <x v="0"/>
    <s v="969.12"/>
    <x v="0"/>
    <x v="7"/>
    <x v="4"/>
  </r>
  <r>
    <d v="2024-08-28T00:00:00"/>
    <s v="Concern should recent across."/>
    <x v="1393"/>
    <s v="Salary"/>
    <x v="8"/>
    <s v="1366.37"/>
    <x v="0"/>
    <x v="7"/>
    <x v="4"/>
  </r>
  <r>
    <d v="2024-08-28T00:00:00"/>
    <s v="Course staff personal space."/>
    <x v="1394"/>
    <s v="Shopping"/>
    <x v="4"/>
    <s v="1270.99"/>
    <x v="0"/>
    <x v="7"/>
    <x v="4"/>
  </r>
  <r>
    <d v="2024-08-30T00:00:00"/>
    <s v="Woman whose already."/>
    <x v="1395"/>
    <s v="Entertainment"/>
    <x v="6"/>
    <s v="1602.32"/>
    <x v="0"/>
    <x v="7"/>
    <x v="4"/>
  </r>
  <r>
    <d v="2024-09-01T00:00:00"/>
    <s v="Decide cultural start how thank."/>
    <x v="1396"/>
    <s v="Health &amp; Fitness"/>
    <x v="7"/>
    <s v="1037.84"/>
    <x v="0"/>
    <x v="8"/>
    <x v="4"/>
  </r>
  <r>
    <d v="2024-09-02T00:00:00"/>
    <s v="Management necessary process not."/>
    <x v="1397"/>
    <s v="Other"/>
    <x v="5"/>
    <s v="2533.0"/>
    <x v="1"/>
    <x v="8"/>
    <x v="4"/>
  </r>
  <r>
    <d v="2024-09-05T00:00:00"/>
    <s v="Pass quite third ability interview."/>
    <x v="1398"/>
    <s v="Other"/>
    <x v="5"/>
    <s v="3396.0"/>
    <x v="1"/>
    <x v="8"/>
    <x v="4"/>
  </r>
  <r>
    <d v="2024-09-05T00:00:00"/>
    <s v="Talk thing rock ever summer."/>
    <x v="1399"/>
    <s v="Rent"/>
    <x v="2"/>
    <s v="1113.56"/>
    <x v="0"/>
    <x v="8"/>
    <x v="4"/>
  </r>
  <r>
    <d v="2024-09-05T00:00:00"/>
    <s v="Assume campaign assume."/>
    <x v="1400"/>
    <s v="Shopping"/>
    <x v="4"/>
    <s v="1350.66"/>
    <x v="0"/>
    <x v="8"/>
    <x v="4"/>
  </r>
  <r>
    <d v="2024-09-05T00:00:00"/>
    <s v="Item yet ever quite."/>
    <x v="1401"/>
    <s v="Travel"/>
    <x v="9"/>
    <s v="373.74"/>
    <x v="0"/>
    <x v="8"/>
    <x v="4"/>
  </r>
  <r>
    <d v="2024-09-06T00:00:00"/>
    <s v="Guess service this different."/>
    <x v="1402"/>
    <s v="Entertainment"/>
    <x v="6"/>
    <s v="1003.01"/>
    <x v="0"/>
    <x v="8"/>
    <x v="4"/>
  </r>
  <r>
    <d v="2024-09-07T00:00:00"/>
    <s v="Mother first hot free."/>
    <x v="1403"/>
    <s v="Investment"/>
    <x v="3"/>
    <s v="2674.0"/>
    <x v="1"/>
    <x v="8"/>
    <x v="4"/>
  </r>
  <r>
    <d v="2024-09-08T00:00:00"/>
    <s v="Wrong difficult."/>
    <x v="1404"/>
    <s v="Entertainment"/>
    <x v="6"/>
    <s v="1671.53"/>
    <x v="0"/>
    <x v="8"/>
    <x v="4"/>
  </r>
  <r>
    <d v="2024-09-10T00:00:00"/>
    <s v="True culture."/>
    <x v="1405"/>
    <s v="Health &amp; Fitness"/>
    <x v="7"/>
    <s v="320.43"/>
    <x v="0"/>
    <x v="8"/>
    <x v="4"/>
  </r>
  <r>
    <d v="2024-09-13T00:00:00"/>
    <s v="As personal agreement."/>
    <x v="1406"/>
    <s v="Investment"/>
    <x v="3"/>
    <s v="4535.0"/>
    <x v="1"/>
    <x v="8"/>
    <x v="4"/>
  </r>
  <r>
    <d v="2024-09-15T00:00:00"/>
    <s v="Or phone."/>
    <x v="1407"/>
    <s v="Food &amp; Drink"/>
    <x v="0"/>
    <s v="1697.54"/>
    <x v="0"/>
    <x v="8"/>
    <x v="4"/>
  </r>
  <r>
    <d v="2024-09-16T00:00:00"/>
    <s v="East list when."/>
    <x v="1408"/>
    <s v="Health &amp; Fitness"/>
    <x v="7"/>
    <s v="989.76"/>
    <x v="0"/>
    <x v="8"/>
    <x v="4"/>
  </r>
  <r>
    <d v="2024-09-17T00:00:00"/>
    <s v="Mind door authority outside."/>
    <x v="1409"/>
    <s v="Travel"/>
    <x v="9"/>
    <s v="986.7"/>
    <x v="0"/>
    <x v="8"/>
    <x v="4"/>
  </r>
  <r>
    <d v="2024-09-17T00:00:00"/>
    <s v="Personal often."/>
    <x v="1410"/>
    <s v="Travel"/>
    <x v="9"/>
    <s v="801.78"/>
    <x v="0"/>
    <x v="8"/>
    <x v="4"/>
  </r>
  <r>
    <d v="2024-09-17T00:00:00"/>
    <s v="True help."/>
    <x v="1411"/>
    <s v="Utilities"/>
    <x v="1"/>
    <s v="117.75"/>
    <x v="0"/>
    <x v="8"/>
    <x v="4"/>
  </r>
  <r>
    <d v="2024-09-18T00:00:00"/>
    <s v="Artist sort area."/>
    <x v="1412"/>
    <s v="Salary"/>
    <x v="8"/>
    <s v="1879.91"/>
    <x v="0"/>
    <x v="8"/>
    <x v="4"/>
  </r>
  <r>
    <d v="2024-09-21T00:00:00"/>
    <s v="Big argue."/>
    <x v="1413"/>
    <s v="Other"/>
    <x v="5"/>
    <s v="3725.0"/>
    <x v="1"/>
    <x v="8"/>
    <x v="4"/>
  </r>
  <r>
    <d v="2024-09-22T00:00:00"/>
    <s v="Sure i pay."/>
    <x v="1414"/>
    <s v="Utilities"/>
    <x v="1"/>
    <s v="919.82"/>
    <x v="0"/>
    <x v="8"/>
    <x v="4"/>
  </r>
  <r>
    <d v="2024-09-23T00:00:00"/>
    <s v="Ten skin perhaps."/>
    <x v="1415"/>
    <s v="Other"/>
    <x v="5"/>
    <s v="3085.0"/>
    <x v="1"/>
    <x v="8"/>
    <x v="4"/>
  </r>
  <r>
    <d v="2024-09-24T00:00:00"/>
    <s v="Less into per big."/>
    <x v="1416"/>
    <s v="Food &amp; Drink"/>
    <x v="0"/>
    <s v="1351.47"/>
    <x v="0"/>
    <x v="8"/>
    <x v="4"/>
  </r>
  <r>
    <d v="2024-09-25T00:00:00"/>
    <s v="Military onto blue activity."/>
    <x v="1417"/>
    <s v="Rent"/>
    <x v="2"/>
    <s v="657.62"/>
    <x v="0"/>
    <x v="8"/>
    <x v="4"/>
  </r>
  <r>
    <d v="2024-09-26T00:00:00"/>
    <s v="Smile cover of pm eight."/>
    <x v="1418"/>
    <s v="Travel"/>
    <x v="9"/>
    <s v="382.43"/>
    <x v="0"/>
    <x v="8"/>
    <x v="4"/>
  </r>
  <r>
    <d v="2024-09-26T00:00:00"/>
    <s v="Right know during someone."/>
    <x v="1419"/>
    <s v="Travel"/>
    <x v="9"/>
    <s v="947.98"/>
    <x v="0"/>
    <x v="8"/>
    <x v="4"/>
  </r>
  <r>
    <d v="2024-09-27T00:00:00"/>
    <s v="Find job where."/>
    <x v="1420"/>
    <s v="Health &amp; Fitness"/>
    <x v="7"/>
    <s v="375.99"/>
    <x v="0"/>
    <x v="8"/>
    <x v="4"/>
  </r>
  <r>
    <d v="2024-09-27T00:00:00"/>
    <s v="On must certainly."/>
    <x v="1421"/>
    <s v="Shopping"/>
    <x v="4"/>
    <s v="1404.42"/>
    <x v="0"/>
    <x v="8"/>
    <x v="4"/>
  </r>
  <r>
    <d v="2024-10-01T00:00:00"/>
    <s v="Price certain down standard nice."/>
    <x v="1422"/>
    <s v="Investment"/>
    <x v="3"/>
    <s v="2372.0"/>
    <x v="1"/>
    <x v="9"/>
    <x v="4"/>
  </r>
  <r>
    <d v="2024-10-01T00:00:00"/>
    <s v="Owner fact wife."/>
    <x v="1423"/>
    <s v="Shopping"/>
    <x v="4"/>
    <s v="566.46"/>
    <x v="0"/>
    <x v="9"/>
    <x v="4"/>
  </r>
  <r>
    <d v="2024-10-02T00:00:00"/>
    <s v="Country little reality level."/>
    <x v="1424"/>
    <s v="Shopping"/>
    <x v="4"/>
    <s v="400.17"/>
    <x v="0"/>
    <x v="9"/>
    <x v="4"/>
  </r>
  <r>
    <d v="2024-10-02T00:00:00"/>
    <s v="Gas with policy cut."/>
    <x v="1425"/>
    <s v="Travel"/>
    <x v="9"/>
    <s v="1610.13"/>
    <x v="0"/>
    <x v="9"/>
    <x v="4"/>
  </r>
  <r>
    <d v="2024-10-03T00:00:00"/>
    <s v="Not friend federal forget bit."/>
    <x v="1426"/>
    <s v="Utilities"/>
    <x v="1"/>
    <s v="951.24"/>
    <x v="0"/>
    <x v="9"/>
    <x v="4"/>
  </r>
  <r>
    <d v="2024-10-04T00:00:00"/>
    <s v="Detail about development discover."/>
    <x v="1427"/>
    <s v="Other"/>
    <x v="5"/>
    <s v="4592.0"/>
    <x v="1"/>
    <x v="9"/>
    <x v="4"/>
  </r>
  <r>
    <d v="2024-10-04T00:00:00"/>
    <s v="Lose shoulder spring."/>
    <x v="1428"/>
    <s v="Other"/>
    <x v="5"/>
    <s v="4486.0"/>
    <x v="1"/>
    <x v="9"/>
    <x v="4"/>
  </r>
  <r>
    <d v="2024-10-07T00:00:00"/>
    <s v="Hundred step according."/>
    <x v="1429"/>
    <s v="Food &amp; Drink"/>
    <x v="0"/>
    <s v="802.82"/>
    <x v="0"/>
    <x v="9"/>
    <x v="4"/>
  </r>
  <r>
    <d v="2024-10-08T00:00:00"/>
    <s v="Group never."/>
    <x v="1430"/>
    <s v="Food &amp; Drink"/>
    <x v="0"/>
    <s v="438.78"/>
    <x v="0"/>
    <x v="9"/>
    <x v="4"/>
  </r>
  <r>
    <d v="2024-10-09T00:00:00"/>
    <s v="Key place tree."/>
    <x v="1431"/>
    <s v="Rent"/>
    <x v="2"/>
    <s v="905.21"/>
    <x v="0"/>
    <x v="9"/>
    <x v="4"/>
  </r>
  <r>
    <d v="2024-10-10T00:00:00"/>
    <s v="Wish current."/>
    <x v="1432"/>
    <s v="Health &amp; Fitness"/>
    <x v="7"/>
    <s v="727.01"/>
    <x v="0"/>
    <x v="9"/>
    <x v="4"/>
  </r>
  <r>
    <d v="2024-10-10T00:00:00"/>
    <s v="Despite energy company."/>
    <x v="1433"/>
    <s v="Travel"/>
    <x v="9"/>
    <s v="694.84"/>
    <x v="0"/>
    <x v="9"/>
    <x v="4"/>
  </r>
  <r>
    <d v="2024-10-11T00:00:00"/>
    <s v="Condition again successful."/>
    <x v="1434"/>
    <s v="Health &amp; Fitness"/>
    <x v="7"/>
    <s v="1736.06"/>
    <x v="0"/>
    <x v="9"/>
    <x v="4"/>
  </r>
  <r>
    <d v="2024-10-12T00:00:00"/>
    <s v="Story case."/>
    <x v="1435"/>
    <s v="Entertainment"/>
    <x v="6"/>
    <s v="1157.94"/>
    <x v="0"/>
    <x v="9"/>
    <x v="4"/>
  </r>
  <r>
    <d v="2024-10-15T00:00:00"/>
    <s v="Very figure drive special."/>
    <x v="1436"/>
    <s v="Utilities"/>
    <x v="1"/>
    <s v="1958.95"/>
    <x v="0"/>
    <x v="9"/>
    <x v="4"/>
  </r>
  <r>
    <d v="2024-10-17T00:00:00"/>
    <s v="With young think there assume."/>
    <x v="1437"/>
    <s v="Health &amp; Fitness"/>
    <x v="7"/>
    <s v="1349.65"/>
    <x v="0"/>
    <x v="9"/>
    <x v="4"/>
  </r>
  <r>
    <d v="2024-10-17T00:00:00"/>
    <s v="Some court her."/>
    <x v="1438"/>
    <s v="Salary"/>
    <x v="8"/>
    <s v="1780.37"/>
    <x v="0"/>
    <x v="9"/>
    <x v="4"/>
  </r>
  <r>
    <d v="2024-10-18T00:00:00"/>
    <s v="Outside with each animal."/>
    <x v="1439"/>
    <s v="Travel"/>
    <x v="9"/>
    <s v="932.87"/>
    <x v="0"/>
    <x v="9"/>
    <x v="4"/>
  </r>
  <r>
    <d v="2024-10-19T00:00:00"/>
    <s v="Picture evidence."/>
    <x v="1440"/>
    <s v="Shopping"/>
    <x v="4"/>
    <s v="1266.23"/>
    <x v="0"/>
    <x v="9"/>
    <x v="4"/>
  </r>
  <r>
    <d v="2024-10-19T00:00:00"/>
    <s v="Take family chance."/>
    <x v="1441"/>
    <s v="Utilities"/>
    <x v="1"/>
    <s v="1284.76"/>
    <x v="0"/>
    <x v="9"/>
    <x v="4"/>
  </r>
  <r>
    <d v="2024-10-21T00:00:00"/>
    <s v="Meet seem population."/>
    <x v="1442"/>
    <s v="Health &amp; Fitness"/>
    <x v="7"/>
    <s v="640.59"/>
    <x v="0"/>
    <x v="9"/>
    <x v="4"/>
  </r>
  <r>
    <d v="2024-10-21T00:00:00"/>
    <s v="Why though decide bank likely."/>
    <x v="1443"/>
    <s v="Rent"/>
    <x v="2"/>
    <s v="167.43"/>
    <x v="0"/>
    <x v="9"/>
    <x v="4"/>
  </r>
  <r>
    <d v="2024-10-21T00:00:00"/>
    <s v="Material less focus hear."/>
    <x v="1444"/>
    <s v="Travel"/>
    <x v="9"/>
    <s v="1214.72"/>
    <x v="0"/>
    <x v="9"/>
    <x v="4"/>
  </r>
  <r>
    <d v="2024-10-23T00:00:00"/>
    <s v="Listen ok point so."/>
    <x v="1445"/>
    <s v="Salary"/>
    <x v="8"/>
    <s v="1564.14"/>
    <x v="0"/>
    <x v="9"/>
    <x v="4"/>
  </r>
  <r>
    <d v="2024-10-24T00:00:00"/>
    <s v="Detail data tell."/>
    <x v="1446"/>
    <s v="Salary"/>
    <x v="8"/>
    <s v="833.84"/>
    <x v="0"/>
    <x v="9"/>
    <x v="4"/>
  </r>
  <r>
    <d v="2024-10-28T00:00:00"/>
    <s v="Fill thousand number."/>
    <x v="1447"/>
    <s v="Investment"/>
    <x v="3"/>
    <s v="1524.0"/>
    <x v="1"/>
    <x v="9"/>
    <x v="4"/>
  </r>
  <r>
    <d v="2024-11-01T00:00:00"/>
    <s v="Nearly care base."/>
    <x v="1448"/>
    <s v="Travel"/>
    <x v="9"/>
    <s v="1881.47"/>
    <x v="0"/>
    <x v="10"/>
    <x v="4"/>
  </r>
  <r>
    <d v="2024-11-02T00:00:00"/>
    <s v="Goal once let perform international."/>
    <x v="1449"/>
    <s v="Rent"/>
    <x v="2"/>
    <s v="429.04"/>
    <x v="0"/>
    <x v="10"/>
    <x v="4"/>
  </r>
  <r>
    <d v="2024-11-03T00:00:00"/>
    <s v="Doctor population grow bar."/>
    <x v="1450"/>
    <s v="Food &amp; Drink"/>
    <x v="0"/>
    <s v="62.47"/>
    <x v="0"/>
    <x v="10"/>
    <x v="4"/>
  </r>
  <r>
    <d v="2024-11-03T00:00:00"/>
    <s v="Important source first him."/>
    <x v="1451"/>
    <s v="Rent"/>
    <x v="2"/>
    <s v="136.95"/>
    <x v="0"/>
    <x v="10"/>
    <x v="4"/>
  </r>
  <r>
    <d v="2024-11-11T00:00:00"/>
    <s v="National back everybody direction budget."/>
    <x v="1452"/>
    <s v="Rent"/>
    <x v="2"/>
    <s v="216.82"/>
    <x v="0"/>
    <x v="10"/>
    <x v="4"/>
  </r>
  <r>
    <d v="2024-11-11T00:00:00"/>
    <s v="National free."/>
    <x v="1453"/>
    <s v="Rent"/>
    <x v="2"/>
    <s v="1313.12"/>
    <x v="0"/>
    <x v="10"/>
    <x v="4"/>
  </r>
  <r>
    <d v="2024-11-12T00:00:00"/>
    <s v="Few spring raise."/>
    <x v="1454"/>
    <s v="Travel"/>
    <x v="9"/>
    <s v="466.42"/>
    <x v="0"/>
    <x v="10"/>
    <x v="4"/>
  </r>
  <r>
    <d v="2024-11-13T00:00:00"/>
    <s v="Across federal state."/>
    <x v="1455"/>
    <s v="Investment"/>
    <x v="3"/>
    <s v="734.0"/>
    <x v="1"/>
    <x v="10"/>
    <x v="4"/>
  </r>
  <r>
    <d v="2024-11-13T00:00:00"/>
    <s v="State serious activity pressure."/>
    <x v="1456"/>
    <s v="Other"/>
    <x v="5"/>
    <s v="3164.0"/>
    <x v="1"/>
    <x v="10"/>
    <x v="4"/>
  </r>
  <r>
    <d v="2024-11-13T00:00:00"/>
    <s v="Relationship your your."/>
    <x v="1457"/>
    <s v="Salary"/>
    <x v="8"/>
    <s v="1256.7"/>
    <x v="0"/>
    <x v="10"/>
    <x v="4"/>
  </r>
  <r>
    <d v="2024-11-13T00:00:00"/>
    <s v="Dinner rich decide do."/>
    <x v="1458"/>
    <s v="Salary"/>
    <x v="8"/>
    <s v="1950.21"/>
    <x v="0"/>
    <x v="10"/>
    <x v="4"/>
  </r>
  <r>
    <d v="2024-11-14T00:00:00"/>
    <s v="Show recently decide last."/>
    <x v="1459"/>
    <s v="Investment"/>
    <x v="3"/>
    <s v="4240.0"/>
    <x v="1"/>
    <x v="10"/>
    <x v="4"/>
  </r>
  <r>
    <d v="2024-11-14T00:00:00"/>
    <s v="Serious reveal left social fine."/>
    <x v="1460"/>
    <s v="Travel"/>
    <x v="9"/>
    <s v="1101.61"/>
    <x v="0"/>
    <x v="10"/>
    <x v="4"/>
  </r>
  <r>
    <d v="2024-11-16T00:00:00"/>
    <s v="Hear officer."/>
    <x v="1461"/>
    <s v="Shopping"/>
    <x v="4"/>
    <s v="1051.69"/>
    <x v="0"/>
    <x v="10"/>
    <x v="4"/>
  </r>
  <r>
    <d v="2024-11-17T00:00:00"/>
    <s v="Different international sell several."/>
    <x v="1462"/>
    <s v="Entertainment"/>
    <x v="6"/>
    <s v="1611.37"/>
    <x v="0"/>
    <x v="10"/>
    <x v="4"/>
  </r>
  <r>
    <d v="2024-11-17T00:00:00"/>
    <s v="For age size."/>
    <x v="1463"/>
    <s v="Health &amp; Fitness"/>
    <x v="7"/>
    <s v="830.29"/>
    <x v="0"/>
    <x v="10"/>
    <x v="4"/>
  </r>
  <r>
    <d v="2024-11-17T00:00:00"/>
    <s v="With yes nothing."/>
    <x v="1464"/>
    <s v="Investment"/>
    <x v="3"/>
    <s v="500.0"/>
    <x v="1"/>
    <x v="10"/>
    <x v="4"/>
  </r>
  <r>
    <d v="2024-11-17T00:00:00"/>
    <s v="Wall act special."/>
    <x v="1465"/>
    <s v="Travel"/>
    <x v="9"/>
    <s v="1818.76"/>
    <x v="0"/>
    <x v="10"/>
    <x v="4"/>
  </r>
  <r>
    <d v="2024-11-18T00:00:00"/>
    <s v="Board notice later thus."/>
    <x v="1466"/>
    <s v="Food &amp; Drink"/>
    <x v="0"/>
    <s v="1378.66"/>
    <x v="0"/>
    <x v="10"/>
    <x v="4"/>
  </r>
  <r>
    <d v="2024-11-18T00:00:00"/>
    <s v="Woman daughter hospital move."/>
    <x v="1467"/>
    <s v="Utilities"/>
    <x v="1"/>
    <s v="694.33"/>
    <x v="0"/>
    <x v="10"/>
    <x v="4"/>
  </r>
  <r>
    <d v="2024-11-19T00:00:00"/>
    <s v="Bit need allow."/>
    <x v="1468"/>
    <s v="Salary"/>
    <x v="8"/>
    <s v="606.22"/>
    <x v="0"/>
    <x v="10"/>
    <x v="4"/>
  </r>
  <r>
    <d v="2024-11-20T00:00:00"/>
    <s v="Day fact modern."/>
    <x v="1469"/>
    <s v="Health &amp; Fitness"/>
    <x v="7"/>
    <s v="385.26"/>
    <x v="0"/>
    <x v="10"/>
    <x v="4"/>
  </r>
  <r>
    <d v="2024-11-20T00:00:00"/>
    <s v="Cost attorney."/>
    <x v="1470"/>
    <s v="Travel"/>
    <x v="9"/>
    <s v="1198.04"/>
    <x v="0"/>
    <x v="10"/>
    <x v="4"/>
  </r>
  <r>
    <d v="2024-11-22T00:00:00"/>
    <s v="Happy action."/>
    <x v="1471"/>
    <s v="Shopping"/>
    <x v="4"/>
    <s v="795.56"/>
    <x v="0"/>
    <x v="10"/>
    <x v="4"/>
  </r>
  <r>
    <d v="2024-11-23T00:00:00"/>
    <s v="Hospital writer can industry."/>
    <x v="1472"/>
    <s v="Other"/>
    <x v="5"/>
    <s v="3599.0"/>
    <x v="1"/>
    <x v="10"/>
    <x v="4"/>
  </r>
  <r>
    <d v="2024-11-24T00:00:00"/>
    <s v="Western tend candidate day."/>
    <x v="1473"/>
    <s v="Rent"/>
    <x v="2"/>
    <s v="850.26"/>
    <x v="0"/>
    <x v="10"/>
    <x v="4"/>
  </r>
  <r>
    <d v="2024-11-24T00:00:00"/>
    <s v="City offer financial data."/>
    <x v="1474"/>
    <s v="Travel"/>
    <x v="9"/>
    <s v="576.51"/>
    <x v="0"/>
    <x v="10"/>
    <x v="4"/>
  </r>
  <r>
    <d v="2024-11-24T00:00:00"/>
    <s v="Cut yard knowledge."/>
    <x v="1475"/>
    <s v="Travel"/>
    <x v="9"/>
    <s v="831.68"/>
    <x v="0"/>
    <x v="10"/>
    <x v="4"/>
  </r>
  <r>
    <d v="2024-11-25T00:00:00"/>
    <s v="Say explain."/>
    <x v="1476"/>
    <s v="Other"/>
    <x v="5"/>
    <s v="4209.0"/>
    <x v="1"/>
    <x v="10"/>
    <x v="4"/>
  </r>
  <r>
    <d v="2024-11-25T00:00:00"/>
    <s v="Red republican father party."/>
    <x v="1477"/>
    <s v="Salary"/>
    <x v="8"/>
    <s v="383.7"/>
    <x v="0"/>
    <x v="10"/>
    <x v="4"/>
  </r>
  <r>
    <d v="2024-11-25T00:00:00"/>
    <s v="Space moment travel these least."/>
    <x v="1478"/>
    <s v="Utilities"/>
    <x v="1"/>
    <s v="281.88"/>
    <x v="0"/>
    <x v="10"/>
    <x v="4"/>
  </r>
  <r>
    <d v="2024-11-26T00:00:00"/>
    <s v="Eat tonight run leader."/>
    <x v="1479"/>
    <s v="Investment"/>
    <x v="3"/>
    <s v="4882.0"/>
    <x v="1"/>
    <x v="10"/>
    <x v="4"/>
  </r>
  <r>
    <d v="2024-11-29T00:00:00"/>
    <s v="Believe recognize analysis those citizen."/>
    <x v="1480"/>
    <s v="Investment"/>
    <x v="3"/>
    <s v="2811.0"/>
    <x v="1"/>
    <x v="10"/>
    <x v="4"/>
  </r>
  <r>
    <d v="2024-11-30T00:00:00"/>
    <s v="Project at risk."/>
    <x v="1481"/>
    <s v="Salary"/>
    <x v="8"/>
    <s v="1456.94"/>
    <x v="0"/>
    <x v="10"/>
    <x v="4"/>
  </r>
  <r>
    <d v="2024-12-02T00:00:00"/>
    <s v="In seven building hard."/>
    <x v="1482"/>
    <s v="Utilities"/>
    <x v="1"/>
    <s v="39.3"/>
    <x v="0"/>
    <x v="11"/>
    <x v="4"/>
  </r>
  <r>
    <d v="2024-12-05T00:00:00"/>
    <s v="Short for late education."/>
    <x v="1483"/>
    <s v="Shopping"/>
    <x v="4"/>
    <s v="630.04"/>
    <x v="0"/>
    <x v="11"/>
    <x v="4"/>
  </r>
  <r>
    <d v="2024-12-06T00:00:00"/>
    <s v="Left available."/>
    <x v="1484"/>
    <s v="Health &amp; Fitness"/>
    <x v="7"/>
    <s v="932.73"/>
    <x v="0"/>
    <x v="11"/>
    <x v="4"/>
  </r>
  <r>
    <d v="2024-12-09T00:00:00"/>
    <s v="Gas human create also."/>
    <x v="1485"/>
    <s v="Health &amp; Fitness"/>
    <x v="7"/>
    <s v="169.64"/>
    <x v="0"/>
    <x v="11"/>
    <x v="4"/>
  </r>
  <r>
    <d v="2024-12-11T00:00:00"/>
    <s v="Remember carry."/>
    <x v="1486"/>
    <s v="Utilities"/>
    <x v="1"/>
    <s v="121.52"/>
    <x v="0"/>
    <x v="11"/>
    <x v="4"/>
  </r>
  <r>
    <d v="2024-12-12T00:00:00"/>
    <s v="Likely evidence claim."/>
    <x v="1487"/>
    <s v="Other"/>
    <x v="5"/>
    <s v="3625.0"/>
    <x v="1"/>
    <x v="11"/>
    <x v="4"/>
  </r>
  <r>
    <d v="2024-12-12T00:00:00"/>
    <s v="Leave bar prevent require."/>
    <x v="1488"/>
    <s v="Rent"/>
    <x v="2"/>
    <s v="1090.95"/>
    <x v="0"/>
    <x v="11"/>
    <x v="4"/>
  </r>
  <r>
    <d v="2024-12-15T00:00:00"/>
    <s v="Beyond family movement hospital back."/>
    <x v="1489"/>
    <s v="Rent"/>
    <x v="2"/>
    <s v="1949.45"/>
    <x v="0"/>
    <x v="11"/>
    <x v="4"/>
  </r>
  <r>
    <d v="2024-12-16T00:00:00"/>
    <s v="Child group describe."/>
    <x v="1490"/>
    <s v="Shopping"/>
    <x v="4"/>
    <s v="1544.74"/>
    <x v="0"/>
    <x v="11"/>
    <x v="4"/>
  </r>
  <r>
    <d v="2024-12-19T00:00:00"/>
    <s v="Democratic recent student specific political."/>
    <x v="1491"/>
    <s v="Food &amp; Drink"/>
    <x v="0"/>
    <s v="406.37"/>
    <x v="0"/>
    <x v="11"/>
    <x v="4"/>
  </r>
  <r>
    <d v="2024-12-19T00:00:00"/>
    <s v="Real know our any."/>
    <x v="1492"/>
    <s v="Rent"/>
    <x v="2"/>
    <s v="1047.07"/>
    <x v="0"/>
    <x v="11"/>
    <x v="4"/>
  </r>
  <r>
    <d v="2024-12-21T00:00:00"/>
    <s v="Up hear draw."/>
    <x v="1493"/>
    <s v="Salary"/>
    <x v="8"/>
    <s v="784.35"/>
    <x v="0"/>
    <x v="11"/>
    <x v="4"/>
  </r>
  <r>
    <d v="2024-12-23T00:00:00"/>
    <s v="Instead writer."/>
    <x v="1494"/>
    <s v="Health &amp; Fitness"/>
    <x v="7"/>
    <s v="325.64"/>
    <x v="0"/>
    <x v="11"/>
    <x v="4"/>
  </r>
  <r>
    <d v="2024-12-28T00:00:00"/>
    <s v="Right analysis mention."/>
    <x v="1495"/>
    <s v="Entertainment"/>
    <x v="6"/>
    <s v="727.25"/>
    <x v="0"/>
    <x v="11"/>
    <x v="4"/>
  </r>
  <r>
    <d v="2024-12-28T00:00:00"/>
    <s v="No couple debate must."/>
    <x v="1496"/>
    <s v="Investment"/>
    <x v="3"/>
    <s v="1425.0"/>
    <x v="1"/>
    <x v="11"/>
    <x v="4"/>
  </r>
  <r>
    <d v="2024-12-28T00:00:00"/>
    <s v="Quite as when."/>
    <x v="1497"/>
    <s v="Rent"/>
    <x v="2"/>
    <s v="514.09"/>
    <x v="0"/>
    <x v="11"/>
    <x v="4"/>
  </r>
  <r>
    <d v="2024-12-29T00:00:00"/>
    <s v="Pressure activity defense detail."/>
    <x v="1498"/>
    <s v="Other"/>
    <x v="5"/>
    <s v="1480.0"/>
    <x v="1"/>
    <x v="11"/>
    <x v="4"/>
  </r>
  <r>
    <d v="2024-12-29T00:00:00"/>
    <s v="Discussion black follow."/>
    <x v="1499"/>
    <s v="Shopping"/>
    <x v="4"/>
    <s v="655.78"/>
    <x v="0"/>
    <x v="1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3E368-3006-4A2D-868E-AF233CF79D8C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D15" firstHeaderRow="1" firstDataRow="2" firstDataCol="1"/>
  <pivotFields count="9">
    <pivotField numFmtId="14" showAll="0"/>
    <pivotField showAll="0"/>
    <pivotField showAll="0"/>
    <pivotField showAll="0"/>
    <pivotField axis="axisRow" showAll="0">
      <items count="11">
        <item x="6"/>
        <item x="0"/>
        <item x="7"/>
        <item x="3"/>
        <item x="5"/>
        <item x="2"/>
        <item x="8"/>
        <item x="4"/>
        <item x="9"/>
        <item x="1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Expenses and Incomes by Category" fld="5" subtotal="count" baseField="0" baseItem="0"/>
  </dataFields>
  <formats count="14"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4" type="button" dataOnly="0" labelOnly="1" outline="0" axis="axisRow" fieldPosition="0"/>
    </format>
    <format dxfId="57">
      <pivotArea dataOnly="0" labelOnly="1" fieldPosition="0">
        <references count="1">
          <reference field="4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1">
          <reference field="6" count="0"/>
        </references>
      </pivotArea>
    </format>
    <format dxfId="54">
      <pivotArea dataOnly="0" labelOnly="1" grandCol="1" outline="0" fieldPosition="0"/>
    </format>
    <format dxfId="53">
      <pivotArea type="topRight" dataOnly="0" labelOnly="1" outline="0" fieldPosition="0"/>
    </format>
    <format dxfId="52">
      <pivotArea type="topRight" dataOnly="0" labelOnly="1" outline="0" fieldPosition="0"/>
    </format>
    <format dxfId="51">
      <pivotArea field="6" type="button" dataOnly="0" labelOnly="1" outline="0" axis="axisCol" fieldPosition="0"/>
    </format>
    <format dxfId="50">
      <pivotArea type="topRight" dataOnly="0" labelOnly="1" outline="0" offset="A1" fieldPosition="0"/>
    </format>
    <format dxfId="49">
      <pivotArea field="6" type="button" dataOnly="0" labelOnly="1" outline="0" axis="axisCol" fieldPosition="0"/>
    </format>
    <format dxfId="48">
      <pivotArea type="topRight" dataOnly="0" labelOnly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A94B3-87C0-43BF-8CE0-8E8D837D0E30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D17" firstHeaderRow="1" firstDataRow="2" firstDataCol="1" rowPageCount="1" colPageCount="1"/>
  <pivotFields count="9">
    <pivotField numFmtId="14" showAll="0"/>
    <pivotField showAll="0"/>
    <pivotField showAll="0"/>
    <pivotField showAll="0"/>
    <pivotField showAll="0"/>
    <pivotField dataField="1" showAll="0"/>
    <pivotField axis="axisCol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8" hier="-1"/>
  </pageFields>
  <dataFields count="1">
    <dataField name="Monthly Evolution" fld="5" subtotal="count" baseField="0" baseItem="0"/>
  </dataFields>
  <formats count="10"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6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7" type="button" dataOnly="0" labelOnly="1" outline="0" axis="axisRow" fieldPosition="0"/>
    </format>
    <format dxfId="41">
      <pivotArea dataOnly="0" labelOnly="1" fieldPosition="0">
        <references count="1">
          <reference field="7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6" count="0"/>
        </references>
      </pivotArea>
    </format>
    <format dxfId="38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963CC3-483B-4D4E-AD8A-B9542D23C937}" name="tblClean" displayName="tblClean" ref="A1:I1501" totalsRowShown="0" headerRowDxfId="69" dataDxfId="70" headerRowBorderDxfId="74" tableBorderDxfId="75" totalsRowBorderDxfId="73">
  <autoFilter ref="A1:I1501" xr:uid="{42963CC3-483B-4D4E-AD8A-B9542D23C937}"/>
  <sortState xmlns:xlrd2="http://schemas.microsoft.com/office/spreadsheetml/2017/richdata2" ref="A2:H1501">
    <sortCondition ref="A1:A1501"/>
  </sortState>
  <tableColumns count="9">
    <tableColumn id="1" xr3:uid="{462B6022-E56F-42EC-893F-016CFFE99EE4}" name="Date" dataDxfId="72"/>
    <tableColumn id="2" xr3:uid="{9775CB5F-9422-4176-A9AC-BEBFF58F6130}" name="Transaction Description" dataDxfId="68"/>
    <tableColumn id="7" xr3:uid="{0BAF7DE0-79D0-43FE-A5DE-737C1F177F7E}" name="Transaction Descritpion Clean" dataDxfId="66">
      <calculatedColumnFormula>TRIM(CLEAN(PROPER(tblClean[[#This Row],[Transaction Description]])))</calculatedColumnFormula>
    </tableColumn>
    <tableColumn id="3" xr3:uid="{9210E0F2-C958-499B-BA06-A03FB1931BAB}" name="Category" dataDxfId="67"/>
    <tableColumn id="4" xr3:uid="{73C0E2BA-E726-44F0-8A07-7DBD51E75DAD}" name="Category_Clean" dataDxfId="65">
      <calculatedColumnFormula>TRIM(CLEAN(PROPER(tblClean[[#This Row],[Category]])))</calculatedColumnFormula>
    </tableColumn>
    <tableColumn id="5" xr3:uid="{9A098BBB-76A9-4E3B-BA83-2AD20339EAAC}" name="Amount" dataDxfId="64"/>
    <tableColumn id="6" xr3:uid="{D56F072B-4160-4D53-9FF1-FD2B6269673B}" name="Type" dataDxfId="71"/>
    <tableColumn id="9" xr3:uid="{F00C91FC-E64C-411F-B911-10DA679CAC2C}" name="Month" dataDxfId="62">
      <calculatedColumnFormula>MONTH(tblClean[[#This Row],[Date]])</calculatedColumnFormula>
    </tableColumn>
    <tableColumn id="10" xr3:uid="{97DF32C6-C2C0-4F5E-9049-D2343F4A767A}" name="Year" dataDxfId="63">
      <calculatedColumnFormula>YEAR(tblClean[[#This Row],[Date]])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00137-C1B9-4CDD-898C-C682BC6C2000}">
  <dimension ref="A1:I1501"/>
  <sheetViews>
    <sheetView topLeftCell="A2" workbookViewId="0">
      <selection activeCell="B10" sqref="B10"/>
    </sheetView>
  </sheetViews>
  <sheetFormatPr baseColWidth="10" defaultRowHeight="15" x14ac:dyDescent="0.25"/>
  <cols>
    <col min="1" max="1" width="10.42578125" bestFit="1" customWidth="1"/>
    <col min="2" max="2" width="44.7109375" bestFit="1" customWidth="1"/>
    <col min="3" max="3" width="44.7109375" customWidth="1"/>
    <col min="4" max="4" width="15.140625" bestFit="1" customWidth="1"/>
    <col min="5" max="5" width="17.42578125" style="5" customWidth="1"/>
    <col min="6" max="6" width="10.140625" customWidth="1"/>
    <col min="7" max="7" width="8.140625" bestFit="1" customWidth="1"/>
  </cols>
  <sheetData>
    <row r="1" spans="1:9" x14ac:dyDescent="0.25">
      <c r="A1" s="8" t="s">
        <v>0</v>
      </c>
      <c r="B1" s="8" t="s">
        <v>1</v>
      </c>
      <c r="C1" s="8" t="s">
        <v>3010</v>
      </c>
      <c r="D1" s="8" t="s">
        <v>2</v>
      </c>
      <c r="E1" s="8" t="s">
        <v>3009</v>
      </c>
      <c r="F1" s="8" t="s">
        <v>3</v>
      </c>
      <c r="G1" s="8" t="s">
        <v>4</v>
      </c>
      <c r="H1" s="8" t="s">
        <v>3011</v>
      </c>
      <c r="I1" s="8" t="s">
        <v>3012</v>
      </c>
    </row>
    <row r="2" spans="1:9" x14ac:dyDescent="0.25">
      <c r="A2" s="6">
        <v>43832</v>
      </c>
      <c r="B2" s="1" t="s">
        <v>5</v>
      </c>
      <c r="C2" s="3" t="str">
        <f>TRIM(CLEAN(PROPER(tblClean[[#This Row],[Transaction Description]])))</f>
        <v>Score Each.</v>
      </c>
      <c r="D2" s="1" t="s">
        <v>6</v>
      </c>
      <c r="E2" s="3" t="str">
        <f>TRIM(CLEAN(PROPER(tblClean[[#This Row],[Category]])))</f>
        <v>Food &amp; Drink</v>
      </c>
      <c r="F2" s="10" t="s">
        <v>7</v>
      </c>
      <c r="G2" s="1" t="s">
        <v>8</v>
      </c>
      <c r="H2" s="15">
        <f>MONTH(tblClean[[#This Row],[Date]])</f>
        <v>1</v>
      </c>
      <c r="I2" s="15">
        <f>YEAR(tblClean[[#This Row],[Date]])</f>
        <v>2020</v>
      </c>
    </row>
    <row r="3" spans="1:9" x14ac:dyDescent="0.25">
      <c r="A3" s="7">
        <v>43832</v>
      </c>
      <c r="B3" s="2" t="s">
        <v>9</v>
      </c>
      <c r="C3" s="4" t="str">
        <f>TRIM(CLEAN(PROPER(tblClean[[#This Row],[Transaction Description]])))</f>
        <v>Quality Throughout.</v>
      </c>
      <c r="D3" s="2" t="s">
        <v>10</v>
      </c>
      <c r="E3" s="3" t="str">
        <f>TRIM(CLEAN(PROPER(tblClean[[#This Row],[Category]])))</f>
        <v>Utilities</v>
      </c>
      <c r="F3" s="11" t="s">
        <v>11</v>
      </c>
      <c r="G3" s="2" t="s">
        <v>8</v>
      </c>
      <c r="H3" s="15">
        <f>MONTH(tblClean[[#This Row],[Date]])</f>
        <v>1</v>
      </c>
      <c r="I3" s="15">
        <f>YEAR(tblClean[[#This Row],[Date]])</f>
        <v>2020</v>
      </c>
    </row>
    <row r="4" spans="1:9" x14ac:dyDescent="0.25">
      <c r="A4" s="6">
        <v>43834</v>
      </c>
      <c r="B4" s="1" t="s">
        <v>12</v>
      </c>
      <c r="C4" s="3" t="str">
        <f>TRIM(CLEAN(PROPER(tblClean[[#This Row],[Transaction Description]])))</f>
        <v>Instead Ahead Despite Measure Ago.</v>
      </c>
      <c r="D4" s="1" t="s">
        <v>13</v>
      </c>
      <c r="E4" s="3" t="str">
        <f>TRIM(CLEAN(PROPER(tblClean[[#This Row],[Category]])))</f>
        <v>Rent</v>
      </c>
      <c r="F4" s="10" t="s">
        <v>14</v>
      </c>
      <c r="G4" s="1" t="s">
        <v>8</v>
      </c>
      <c r="H4" s="15">
        <f>MONTH(tblClean[[#This Row],[Date]])</f>
        <v>1</v>
      </c>
      <c r="I4" s="15">
        <f>YEAR(tblClean[[#This Row],[Date]])</f>
        <v>2020</v>
      </c>
    </row>
    <row r="5" spans="1:9" x14ac:dyDescent="0.25">
      <c r="A5" s="7">
        <v>43835</v>
      </c>
      <c r="B5" s="2" t="s">
        <v>15</v>
      </c>
      <c r="C5" s="4" t="str">
        <f>TRIM(CLEAN(PROPER(tblClean[[#This Row],[Transaction Description]])))</f>
        <v>Information Last Everything Thank Serve.</v>
      </c>
      <c r="D5" s="2" t="s">
        <v>16</v>
      </c>
      <c r="E5" s="3" t="str">
        <f>TRIM(CLEAN(PROPER(tblClean[[#This Row],[Category]])))</f>
        <v>Investment</v>
      </c>
      <c r="F5" s="11" t="s">
        <v>17</v>
      </c>
      <c r="G5" s="2" t="s">
        <v>18</v>
      </c>
      <c r="H5" s="15">
        <f>MONTH(tblClean[[#This Row],[Date]])</f>
        <v>1</v>
      </c>
      <c r="I5" s="15">
        <f>YEAR(tblClean[[#This Row],[Date]])</f>
        <v>2020</v>
      </c>
    </row>
    <row r="6" spans="1:9" x14ac:dyDescent="0.25">
      <c r="A6" s="6">
        <v>43843</v>
      </c>
      <c r="B6" s="1" t="s">
        <v>19</v>
      </c>
      <c r="C6" s="3" t="str">
        <f>TRIM(CLEAN(PROPER(tblClean[[#This Row],[Transaction Description]])))</f>
        <v>Future Choice Whatever From.</v>
      </c>
      <c r="D6" s="1" t="s">
        <v>6</v>
      </c>
      <c r="E6" s="3" t="str">
        <f>TRIM(CLEAN(PROPER(tblClean[[#This Row],[Category]])))</f>
        <v>Food &amp; Drink</v>
      </c>
      <c r="F6" s="10" t="s">
        <v>20</v>
      </c>
      <c r="G6" s="1" t="s">
        <v>8</v>
      </c>
      <c r="H6" s="15">
        <f>MONTH(tblClean[[#This Row],[Date]])</f>
        <v>1</v>
      </c>
      <c r="I6" s="15">
        <f>YEAR(tblClean[[#This Row],[Date]])</f>
        <v>2020</v>
      </c>
    </row>
    <row r="7" spans="1:9" x14ac:dyDescent="0.25">
      <c r="A7" s="7">
        <v>43844</v>
      </c>
      <c r="B7" s="2" t="s">
        <v>21</v>
      </c>
      <c r="C7" s="4" t="str">
        <f>TRIM(CLEAN(PROPER(tblClean[[#This Row],[Transaction Description]])))</f>
        <v>Benefit Suggest Page Southern.</v>
      </c>
      <c r="D7" s="2" t="s">
        <v>22</v>
      </c>
      <c r="E7" s="3" t="str">
        <f>TRIM(CLEAN(PROPER(tblClean[[#This Row],[Category]])))</f>
        <v>Shopping</v>
      </c>
      <c r="F7" s="11" t="s">
        <v>23</v>
      </c>
      <c r="G7" s="2" t="s">
        <v>8</v>
      </c>
      <c r="H7" s="15">
        <f>MONTH(tblClean[[#This Row],[Date]])</f>
        <v>1</v>
      </c>
      <c r="I7" s="15">
        <f>YEAR(tblClean[[#This Row],[Date]])</f>
        <v>2020</v>
      </c>
    </row>
    <row r="8" spans="1:9" x14ac:dyDescent="0.25">
      <c r="A8" s="6">
        <v>43848</v>
      </c>
      <c r="B8" s="1" t="s">
        <v>24</v>
      </c>
      <c r="C8" s="3" t="str">
        <f>TRIM(CLEAN(PROPER(tblClean[[#This Row],[Transaction Description]])))</f>
        <v>By Two Bad Fall Pick.</v>
      </c>
      <c r="D8" s="1" t="s">
        <v>6</v>
      </c>
      <c r="E8" s="3" t="str">
        <f>TRIM(CLEAN(PROPER(tblClean[[#This Row],[Category]])))</f>
        <v>Food &amp; Drink</v>
      </c>
      <c r="F8" s="10" t="s">
        <v>25</v>
      </c>
      <c r="G8" s="1" t="s">
        <v>8</v>
      </c>
      <c r="H8" s="15">
        <f>MONTH(tblClean[[#This Row],[Date]])</f>
        <v>1</v>
      </c>
      <c r="I8" s="15">
        <f>YEAR(tblClean[[#This Row],[Date]])</f>
        <v>2020</v>
      </c>
    </row>
    <row r="9" spans="1:9" x14ac:dyDescent="0.25">
      <c r="A9" s="7">
        <v>43849</v>
      </c>
      <c r="B9" s="2" t="s">
        <v>26</v>
      </c>
      <c r="C9" s="4" t="str">
        <f>TRIM(CLEAN(PROPER(tblClean[[#This Row],[Transaction Description]])))</f>
        <v>Court Attorney Product Significant World.</v>
      </c>
      <c r="D9" s="2" t="s">
        <v>27</v>
      </c>
      <c r="E9" s="3" t="str">
        <f>TRIM(CLEAN(PROPER(tblClean[[#This Row],[Category]])))</f>
        <v>Other</v>
      </c>
      <c r="F9" s="11" t="s">
        <v>28</v>
      </c>
      <c r="G9" s="2" t="s">
        <v>18</v>
      </c>
      <c r="H9" s="15">
        <f>MONTH(tblClean[[#This Row],[Date]])</f>
        <v>1</v>
      </c>
      <c r="I9" s="15">
        <f>YEAR(tblClean[[#This Row],[Date]])</f>
        <v>2020</v>
      </c>
    </row>
    <row r="10" spans="1:9" x14ac:dyDescent="0.25">
      <c r="A10" s="6">
        <v>43851</v>
      </c>
      <c r="B10" s="1" t="s">
        <v>29</v>
      </c>
      <c r="C10" s="3" t="str">
        <f>TRIM(CLEAN(PROPER(tblClean[[#This Row],[Transaction Description]])))</f>
        <v>Herself Law.</v>
      </c>
      <c r="D10" s="1" t="s">
        <v>30</v>
      </c>
      <c r="E10" s="3" t="str">
        <f>TRIM(CLEAN(PROPER(tblClean[[#This Row],[Category]])))</f>
        <v>Entertainment</v>
      </c>
      <c r="F10" s="10" t="s">
        <v>31</v>
      </c>
      <c r="G10" s="1" t="s">
        <v>8</v>
      </c>
      <c r="H10" s="15">
        <f>MONTH(tblClean[[#This Row],[Date]])</f>
        <v>1</v>
      </c>
      <c r="I10" s="15">
        <f>YEAR(tblClean[[#This Row],[Date]])</f>
        <v>2020</v>
      </c>
    </row>
    <row r="11" spans="1:9" x14ac:dyDescent="0.25">
      <c r="A11" s="6">
        <v>43855</v>
      </c>
      <c r="B11" s="1" t="s">
        <v>34</v>
      </c>
      <c r="C11" s="3" t="str">
        <f>TRIM(CLEAN(PROPER(tblClean[[#This Row],[Transaction Description]])))</f>
        <v>Play Move Each Left Establish.</v>
      </c>
      <c r="D11" s="1" t="s">
        <v>35</v>
      </c>
      <c r="E11" s="3" t="str">
        <f>TRIM(CLEAN(PROPER(tblClean[[#This Row],[Category]])))</f>
        <v>Health &amp; Fitness</v>
      </c>
      <c r="F11" s="10" t="s">
        <v>36</v>
      </c>
      <c r="G11" s="1" t="s">
        <v>8</v>
      </c>
      <c r="H11" s="15">
        <f>MONTH(tblClean[[#This Row],[Date]])</f>
        <v>1</v>
      </c>
      <c r="I11" s="15">
        <f>YEAR(tblClean[[#This Row],[Date]])</f>
        <v>2020</v>
      </c>
    </row>
    <row r="12" spans="1:9" x14ac:dyDescent="0.25">
      <c r="A12" s="7">
        <v>43855</v>
      </c>
      <c r="B12" s="2" t="s">
        <v>32</v>
      </c>
      <c r="C12" s="4" t="str">
        <f>TRIM(CLEAN(PROPER(tblClean[[#This Row],[Transaction Description]])))</f>
        <v>Have Decide Environment.</v>
      </c>
      <c r="D12" s="2" t="s">
        <v>13</v>
      </c>
      <c r="E12" s="3" t="str">
        <f>TRIM(CLEAN(PROPER(tblClean[[#This Row],[Category]])))</f>
        <v>Rent</v>
      </c>
      <c r="F12" s="11" t="s">
        <v>33</v>
      </c>
      <c r="G12" s="2" t="s">
        <v>8</v>
      </c>
      <c r="H12" s="15">
        <f>MONTH(tblClean[[#This Row],[Date]])</f>
        <v>1</v>
      </c>
      <c r="I12" s="15">
        <f>YEAR(tblClean[[#This Row],[Date]])</f>
        <v>2020</v>
      </c>
    </row>
    <row r="13" spans="1:9" x14ac:dyDescent="0.25">
      <c r="A13" s="7">
        <v>43856</v>
      </c>
      <c r="B13" s="2" t="s">
        <v>37</v>
      </c>
      <c r="C13" s="4" t="str">
        <f>TRIM(CLEAN(PROPER(tblClean[[#This Row],[Transaction Description]])))</f>
        <v>Range Successful Simply.</v>
      </c>
      <c r="D13" s="2" t="s">
        <v>38</v>
      </c>
      <c r="E13" s="3" t="str">
        <f>TRIM(CLEAN(PROPER(tblClean[[#This Row],[Category]])))</f>
        <v>Salary</v>
      </c>
      <c r="F13" s="11" t="s">
        <v>39</v>
      </c>
      <c r="G13" s="2" t="s">
        <v>8</v>
      </c>
      <c r="H13" s="15">
        <f>MONTH(tblClean[[#This Row],[Date]])</f>
        <v>1</v>
      </c>
      <c r="I13" s="15">
        <f>YEAR(tblClean[[#This Row],[Date]])</f>
        <v>2020</v>
      </c>
    </row>
    <row r="14" spans="1:9" x14ac:dyDescent="0.25">
      <c r="A14" s="6">
        <v>43859</v>
      </c>
      <c r="B14" s="1" t="s">
        <v>40</v>
      </c>
      <c r="C14" s="3" t="str">
        <f>TRIM(CLEAN(PROPER(tblClean[[#This Row],[Transaction Description]])))</f>
        <v>Source Husband.</v>
      </c>
      <c r="D14" s="1" t="s">
        <v>22</v>
      </c>
      <c r="E14" s="3" t="str">
        <f>TRIM(CLEAN(PROPER(tblClean[[#This Row],[Category]])))</f>
        <v>Shopping</v>
      </c>
      <c r="F14" s="10" t="s">
        <v>41</v>
      </c>
      <c r="G14" s="1" t="s">
        <v>8</v>
      </c>
      <c r="H14" s="15">
        <f>MONTH(tblClean[[#This Row],[Date]])</f>
        <v>1</v>
      </c>
      <c r="I14" s="15">
        <f>YEAR(tblClean[[#This Row],[Date]])</f>
        <v>2020</v>
      </c>
    </row>
    <row r="15" spans="1:9" x14ac:dyDescent="0.25">
      <c r="A15" s="7">
        <v>43860</v>
      </c>
      <c r="B15" s="2" t="s">
        <v>42</v>
      </c>
      <c r="C15" s="4" t="str">
        <f>TRIM(CLEAN(PROPER(tblClean[[#This Row],[Transaction Description]])))</f>
        <v>Tree Note Responsibility.</v>
      </c>
      <c r="D15" s="2" t="s">
        <v>35</v>
      </c>
      <c r="E15" s="3" t="str">
        <f>TRIM(CLEAN(PROPER(tblClean[[#This Row],[Category]])))</f>
        <v>Health &amp; Fitness</v>
      </c>
      <c r="F15" s="11" t="s">
        <v>43</v>
      </c>
      <c r="G15" s="2" t="s">
        <v>8</v>
      </c>
      <c r="H15" s="15">
        <f>MONTH(tblClean[[#This Row],[Date]])</f>
        <v>1</v>
      </c>
      <c r="I15" s="15">
        <f>YEAR(tblClean[[#This Row],[Date]])</f>
        <v>2020</v>
      </c>
    </row>
    <row r="16" spans="1:9" x14ac:dyDescent="0.25">
      <c r="A16" s="6">
        <v>43861</v>
      </c>
      <c r="B16" s="1" t="s">
        <v>44</v>
      </c>
      <c r="C16" s="3" t="str">
        <f>TRIM(CLEAN(PROPER(tblClean[[#This Row],[Transaction Description]])))</f>
        <v>How Trip Learn Enter.</v>
      </c>
      <c r="D16" s="1" t="s">
        <v>6</v>
      </c>
      <c r="E16" s="3" t="str">
        <f>TRIM(CLEAN(PROPER(tblClean[[#This Row],[Category]])))</f>
        <v>Food &amp; Drink</v>
      </c>
      <c r="F16" s="10" t="s">
        <v>45</v>
      </c>
      <c r="G16" s="1" t="s">
        <v>8</v>
      </c>
      <c r="H16" s="15">
        <f>MONTH(tblClean[[#This Row],[Date]])</f>
        <v>1</v>
      </c>
      <c r="I16" s="15">
        <f>YEAR(tblClean[[#This Row],[Date]])</f>
        <v>2020</v>
      </c>
    </row>
    <row r="17" spans="1:9" x14ac:dyDescent="0.25">
      <c r="A17" s="7">
        <v>43861</v>
      </c>
      <c r="B17" s="2" t="s">
        <v>46</v>
      </c>
      <c r="C17" s="4" t="str">
        <f>TRIM(CLEAN(PROPER(tblClean[[#This Row],[Transaction Description]])))</f>
        <v>Much Section Investment On Gun.</v>
      </c>
      <c r="D17" s="2" t="s">
        <v>13</v>
      </c>
      <c r="E17" s="3" t="str">
        <f>TRIM(CLEAN(PROPER(tblClean[[#This Row],[Category]])))</f>
        <v>Rent</v>
      </c>
      <c r="F17" s="11" t="s">
        <v>47</v>
      </c>
      <c r="G17" s="2" t="s">
        <v>8</v>
      </c>
      <c r="H17" s="15">
        <f>MONTH(tblClean[[#This Row],[Date]])</f>
        <v>1</v>
      </c>
      <c r="I17" s="15">
        <f>YEAR(tblClean[[#This Row],[Date]])</f>
        <v>2020</v>
      </c>
    </row>
    <row r="18" spans="1:9" x14ac:dyDescent="0.25">
      <c r="A18" s="6">
        <v>43861</v>
      </c>
      <c r="B18" s="1" t="s">
        <v>48</v>
      </c>
      <c r="C18" s="3" t="str">
        <f>TRIM(CLEAN(PROPER(tblClean[[#This Row],[Transaction Description]])))</f>
        <v>Management Sense Technology Check Civil.</v>
      </c>
      <c r="D18" s="1" t="s">
        <v>22</v>
      </c>
      <c r="E18" s="3" t="str">
        <f>TRIM(CLEAN(PROPER(tblClean[[#This Row],[Category]])))</f>
        <v>Shopping</v>
      </c>
      <c r="F18" s="10" t="s">
        <v>49</v>
      </c>
      <c r="G18" s="1" t="s">
        <v>8</v>
      </c>
      <c r="H18" s="15">
        <f>MONTH(tblClean[[#This Row],[Date]])</f>
        <v>1</v>
      </c>
      <c r="I18" s="15">
        <f>YEAR(tblClean[[#This Row],[Date]])</f>
        <v>2020</v>
      </c>
    </row>
    <row r="19" spans="1:9" x14ac:dyDescent="0.25">
      <c r="A19" s="7">
        <v>43863</v>
      </c>
      <c r="B19" s="2" t="s">
        <v>50</v>
      </c>
      <c r="C19" s="4" t="str">
        <f>TRIM(CLEAN(PROPER(tblClean[[#This Row],[Transaction Description]])))</f>
        <v>As High You More Wife.</v>
      </c>
      <c r="D19" s="2" t="s">
        <v>35</v>
      </c>
      <c r="E19" s="3" t="str">
        <f>TRIM(CLEAN(PROPER(tblClean[[#This Row],[Category]])))</f>
        <v>Health &amp; Fitness</v>
      </c>
      <c r="F19" s="11" t="s">
        <v>51</v>
      </c>
      <c r="G19" s="2" t="s">
        <v>8</v>
      </c>
      <c r="H19" s="15">
        <f>MONTH(tblClean[[#This Row],[Date]])</f>
        <v>2</v>
      </c>
      <c r="I19" s="15">
        <f>YEAR(tblClean[[#This Row],[Date]])</f>
        <v>2020</v>
      </c>
    </row>
    <row r="20" spans="1:9" x14ac:dyDescent="0.25">
      <c r="A20" s="6">
        <v>43865</v>
      </c>
      <c r="B20" s="1" t="s">
        <v>52</v>
      </c>
      <c r="C20" s="3" t="str">
        <f>TRIM(CLEAN(PROPER(tblClean[[#This Row],[Transaction Description]])))</f>
        <v>Race Mr.</v>
      </c>
      <c r="D20" s="1" t="s">
        <v>53</v>
      </c>
      <c r="E20" s="3" t="str">
        <f>TRIM(CLEAN(PROPER(tblClean[[#This Row],[Category]])))</f>
        <v>Travel</v>
      </c>
      <c r="F20" s="10" t="s">
        <v>54</v>
      </c>
      <c r="G20" s="1" t="s">
        <v>8</v>
      </c>
      <c r="H20" s="15">
        <f>MONTH(tblClean[[#This Row],[Date]])</f>
        <v>2</v>
      </c>
      <c r="I20" s="15">
        <f>YEAR(tblClean[[#This Row],[Date]])</f>
        <v>2020</v>
      </c>
    </row>
    <row r="21" spans="1:9" x14ac:dyDescent="0.25">
      <c r="A21" s="6">
        <v>43866</v>
      </c>
      <c r="B21" s="1" t="s">
        <v>57</v>
      </c>
      <c r="C21" s="3" t="str">
        <f>TRIM(CLEAN(PROPER(tblClean[[#This Row],[Transaction Description]])))</f>
        <v>Seven Medical Blood Personal.</v>
      </c>
      <c r="D21" s="1" t="s">
        <v>16</v>
      </c>
      <c r="E21" s="3" t="str">
        <f>TRIM(CLEAN(PROPER(tblClean[[#This Row],[Category]])))</f>
        <v>Investment</v>
      </c>
      <c r="F21" s="10" t="s">
        <v>58</v>
      </c>
      <c r="G21" s="1" t="s">
        <v>18</v>
      </c>
      <c r="H21" s="15">
        <f>MONTH(tblClean[[#This Row],[Date]])</f>
        <v>2</v>
      </c>
      <c r="I21" s="15">
        <f>YEAR(tblClean[[#This Row],[Date]])</f>
        <v>2020</v>
      </c>
    </row>
    <row r="22" spans="1:9" x14ac:dyDescent="0.25">
      <c r="A22" s="7">
        <v>43866</v>
      </c>
      <c r="B22" s="2" t="s">
        <v>55</v>
      </c>
      <c r="C22" s="4" t="str">
        <f>TRIM(CLEAN(PROPER(tblClean[[#This Row],[Transaction Description]])))</f>
        <v>Born Itself Law West.</v>
      </c>
      <c r="D22" s="2" t="s">
        <v>13</v>
      </c>
      <c r="E22" s="3" t="str">
        <f>TRIM(CLEAN(PROPER(tblClean[[#This Row],[Category]])))</f>
        <v>Rent</v>
      </c>
      <c r="F22" s="11" t="s">
        <v>56</v>
      </c>
      <c r="G22" s="2" t="s">
        <v>8</v>
      </c>
      <c r="H22" s="15">
        <f>MONTH(tblClean[[#This Row],[Date]])</f>
        <v>2</v>
      </c>
      <c r="I22" s="15">
        <f>YEAR(tblClean[[#This Row],[Date]])</f>
        <v>2020</v>
      </c>
    </row>
    <row r="23" spans="1:9" x14ac:dyDescent="0.25">
      <c r="A23" s="6">
        <v>43868</v>
      </c>
      <c r="B23" s="1" t="s">
        <v>61</v>
      </c>
      <c r="C23" s="3" t="str">
        <f>TRIM(CLEAN(PROPER(tblClean[[#This Row],[Transaction Description]])))</f>
        <v>Food Affect Upon These Story.</v>
      </c>
      <c r="D23" s="1" t="s">
        <v>30</v>
      </c>
      <c r="E23" s="3" t="str">
        <f>TRIM(CLEAN(PROPER(tblClean[[#This Row],[Category]])))</f>
        <v>Entertainment</v>
      </c>
      <c r="F23" s="10" t="s">
        <v>62</v>
      </c>
      <c r="G23" s="1" t="s">
        <v>8</v>
      </c>
      <c r="H23" s="15">
        <f>MONTH(tblClean[[#This Row],[Date]])</f>
        <v>2</v>
      </c>
      <c r="I23" s="15">
        <f>YEAR(tblClean[[#This Row],[Date]])</f>
        <v>2020</v>
      </c>
    </row>
    <row r="24" spans="1:9" x14ac:dyDescent="0.25">
      <c r="A24" s="7">
        <v>43868</v>
      </c>
      <c r="B24" s="2" t="s">
        <v>59</v>
      </c>
      <c r="C24" s="4" t="str">
        <f>TRIM(CLEAN(PROPER(tblClean[[#This Row],[Transaction Description]])))</f>
        <v>Current Hear Claim Well Two.</v>
      </c>
      <c r="D24" s="2" t="s">
        <v>53</v>
      </c>
      <c r="E24" s="3" t="str">
        <f>TRIM(CLEAN(PROPER(tblClean[[#This Row],[Category]])))</f>
        <v>Travel</v>
      </c>
      <c r="F24" s="11" t="s">
        <v>60</v>
      </c>
      <c r="G24" s="2" t="s">
        <v>8</v>
      </c>
      <c r="H24" s="15">
        <f>MONTH(tblClean[[#This Row],[Date]])</f>
        <v>2</v>
      </c>
      <c r="I24" s="15">
        <f>YEAR(tblClean[[#This Row],[Date]])</f>
        <v>2020</v>
      </c>
    </row>
    <row r="25" spans="1:9" x14ac:dyDescent="0.25">
      <c r="A25" s="7">
        <v>43869</v>
      </c>
      <c r="B25" s="2" t="s">
        <v>63</v>
      </c>
      <c r="C25" s="4" t="str">
        <f>TRIM(CLEAN(PROPER(tblClean[[#This Row],[Transaction Description]])))</f>
        <v>Around There Water.</v>
      </c>
      <c r="D25" s="2" t="s">
        <v>6</v>
      </c>
      <c r="E25" s="3" t="str">
        <f>TRIM(CLEAN(PROPER(tblClean[[#This Row],[Category]])))</f>
        <v>Food &amp; Drink</v>
      </c>
      <c r="F25" s="11" t="s">
        <v>64</v>
      </c>
      <c r="G25" s="2" t="s">
        <v>8</v>
      </c>
      <c r="H25" s="15">
        <f>MONTH(tblClean[[#This Row],[Date]])</f>
        <v>2</v>
      </c>
      <c r="I25" s="15">
        <f>YEAR(tblClean[[#This Row],[Date]])</f>
        <v>2020</v>
      </c>
    </row>
    <row r="26" spans="1:9" x14ac:dyDescent="0.25">
      <c r="A26" s="6">
        <v>43869</v>
      </c>
      <c r="B26" s="1" t="s">
        <v>65</v>
      </c>
      <c r="C26" s="3" t="str">
        <f>TRIM(CLEAN(PROPER(tblClean[[#This Row],[Transaction Description]])))</f>
        <v>Staff Within Mouth Call.</v>
      </c>
      <c r="D26" s="1" t="s">
        <v>27</v>
      </c>
      <c r="E26" s="3" t="str">
        <f>TRIM(CLEAN(PROPER(tblClean[[#This Row],[Category]])))</f>
        <v>Other</v>
      </c>
      <c r="F26" s="10" t="s">
        <v>66</v>
      </c>
      <c r="G26" s="1" t="s">
        <v>18</v>
      </c>
      <c r="H26" s="15">
        <f>MONTH(tblClean[[#This Row],[Date]])</f>
        <v>2</v>
      </c>
      <c r="I26" s="15">
        <f>YEAR(tblClean[[#This Row],[Date]])</f>
        <v>2020</v>
      </c>
    </row>
    <row r="27" spans="1:9" x14ac:dyDescent="0.25">
      <c r="A27" s="7">
        <v>43870</v>
      </c>
      <c r="B27" s="2" t="s">
        <v>67</v>
      </c>
      <c r="C27" s="4" t="str">
        <f>TRIM(CLEAN(PROPER(tblClean[[#This Row],[Transaction Description]])))</f>
        <v>Close Month Parent Who Up.</v>
      </c>
      <c r="D27" s="2" t="s">
        <v>30</v>
      </c>
      <c r="E27" s="3" t="str">
        <f>TRIM(CLEAN(PROPER(tblClean[[#This Row],[Category]])))</f>
        <v>Entertainment</v>
      </c>
      <c r="F27" s="11" t="s">
        <v>68</v>
      </c>
      <c r="G27" s="2" t="s">
        <v>8</v>
      </c>
      <c r="H27" s="15">
        <f>MONTH(tblClean[[#This Row],[Date]])</f>
        <v>2</v>
      </c>
      <c r="I27" s="15">
        <f>YEAR(tblClean[[#This Row],[Date]])</f>
        <v>2020</v>
      </c>
    </row>
    <row r="28" spans="1:9" x14ac:dyDescent="0.25">
      <c r="A28" s="6">
        <v>43872</v>
      </c>
      <c r="B28" s="1" t="s">
        <v>69</v>
      </c>
      <c r="C28" s="3" t="str">
        <f>TRIM(CLEAN(PROPER(tblClean[[#This Row],[Transaction Description]])))</f>
        <v>Human Public Health.</v>
      </c>
      <c r="D28" s="1" t="s">
        <v>35</v>
      </c>
      <c r="E28" s="3" t="str">
        <f>TRIM(CLEAN(PROPER(tblClean[[#This Row],[Category]])))</f>
        <v>Health &amp; Fitness</v>
      </c>
      <c r="F28" s="10" t="s">
        <v>70</v>
      </c>
      <c r="G28" s="1" t="s">
        <v>8</v>
      </c>
      <c r="H28" s="15">
        <f>MONTH(tblClean[[#This Row],[Date]])</f>
        <v>2</v>
      </c>
      <c r="I28" s="15">
        <f>YEAR(tblClean[[#This Row],[Date]])</f>
        <v>2020</v>
      </c>
    </row>
    <row r="29" spans="1:9" x14ac:dyDescent="0.25">
      <c r="A29" s="7">
        <v>43874</v>
      </c>
      <c r="B29" s="2" t="s">
        <v>71</v>
      </c>
      <c r="C29" s="4" t="str">
        <f>TRIM(CLEAN(PROPER(tblClean[[#This Row],[Transaction Description]])))</f>
        <v>Building Different Full Open.</v>
      </c>
      <c r="D29" s="2" t="s">
        <v>38</v>
      </c>
      <c r="E29" s="3" t="str">
        <f>TRIM(CLEAN(PROPER(tblClean[[#This Row],[Category]])))</f>
        <v>Salary</v>
      </c>
      <c r="F29" s="11" t="s">
        <v>72</v>
      </c>
      <c r="G29" s="2" t="s">
        <v>8</v>
      </c>
      <c r="H29" s="15">
        <f>MONTH(tblClean[[#This Row],[Date]])</f>
        <v>2</v>
      </c>
      <c r="I29" s="15">
        <f>YEAR(tblClean[[#This Row],[Date]])</f>
        <v>2020</v>
      </c>
    </row>
    <row r="30" spans="1:9" x14ac:dyDescent="0.25">
      <c r="A30" s="6">
        <v>43876</v>
      </c>
      <c r="B30" s="1" t="s">
        <v>73</v>
      </c>
      <c r="C30" s="3" t="str">
        <f>TRIM(CLEAN(PROPER(tblClean[[#This Row],[Transaction Description]])))</f>
        <v>Detail Audience Piece Director Town.</v>
      </c>
      <c r="D30" s="1" t="s">
        <v>27</v>
      </c>
      <c r="E30" s="3" t="str">
        <f>TRIM(CLEAN(PROPER(tblClean[[#This Row],[Category]])))</f>
        <v>Other</v>
      </c>
      <c r="F30" s="10" t="s">
        <v>74</v>
      </c>
      <c r="G30" s="1" t="s">
        <v>18</v>
      </c>
      <c r="H30" s="15">
        <f>MONTH(tblClean[[#This Row],[Date]])</f>
        <v>2</v>
      </c>
      <c r="I30" s="15">
        <f>YEAR(tblClean[[#This Row],[Date]])</f>
        <v>2020</v>
      </c>
    </row>
    <row r="31" spans="1:9" x14ac:dyDescent="0.25">
      <c r="A31" s="7">
        <v>43877</v>
      </c>
      <c r="B31" s="2" t="s">
        <v>75</v>
      </c>
      <c r="C31" s="4" t="str">
        <f>TRIM(CLEAN(PROPER(tblClean[[#This Row],[Transaction Description]])))</f>
        <v>Method Everything.</v>
      </c>
      <c r="D31" s="2" t="s">
        <v>22</v>
      </c>
      <c r="E31" s="3" t="str">
        <f>TRIM(CLEAN(PROPER(tblClean[[#This Row],[Category]])))</f>
        <v>Shopping</v>
      </c>
      <c r="F31" s="11" t="s">
        <v>76</v>
      </c>
      <c r="G31" s="2" t="s">
        <v>8</v>
      </c>
      <c r="H31" s="15">
        <f>MONTH(tblClean[[#This Row],[Date]])</f>
        <v>2</v>
      </c>
      <c r="I31" s="15">
        <f>YEAR(tblClean[[#This Row],[Date]])</f>
        <v>2020</v>
      </c>
    </row>
    <row r="32" spans="1:9" x14ac:dyDescent="0.25">
      <c r="A32" s="6">
        <v>43877</v>
      </c>
      <c r="B32" s="1" t="s">
        <v>77</v>
      </c>
      <c r="C32" s="3" t="str">
        <f>TRIM(CLEAN(PROPER(tblClean[[#This Row],[Transaction Description]])))</f>
        <v>Much Rich Think.</v>
      </c>
      <c r="D32" s="1" t="s">
        <v>10</v>
      </c>
      <c r="E32" s="3" t="str">
        <f>TRIM(CLEAN(PROPER(tblClean[[#This Row],[Category]])))</f>
        <v>Utilities</v>
      </c>
      <c r="F32" s="10" t="s">
        <v>78</v>
      </c>
      <c r="G32" s="1" t="s">
        <v>8</v>
      </c>
      <c r="H32" s="15">
        <f>MONTH(tblClean[[#This Row],[Date]])</f>
        <v>2</v>
      </c>
      <c r="I32" s="15">
        <f>YEAR(tblClean[[#This Row],[Date]])</f>
        <v>2020</v>
      </c>
    </row>
    <row r="33" spans="1:9" x14ac:dyDescent="0.25">
      <c r="A33" s="7">
        <v>43879</v>
      </c>
      <c r="B33" s="2" t="s">
        <v>79</v>
      </c>
      <c r="C33" s="4" t="str">
        <f>TRIM(CLEAN(PROPER(tblClean[[#This Row],[Transaction Description]])))</f>
        <v>Drug List Imagine Behind.</v>
      </c>
      <c r="D33" s="2" t="s">
        <v>16</v>
      </c>
      <c r="E33" s="3" t="str">
        <f>TRIM(CLEAN(PROPER(tblClean[[#This Row],[Category]])))</f>
        <v>Investment</v>
      </c>
      <c r="F33" s="11" t="s">
        <v>80</v>
      </c>
      <c r="G33" s="2" t="s">
        <v>18</v>
      </c>
      <c r="H33" s="15">
        <f>MONTH(tblClean[[#This Row],[Date]])</f>
        <v>2</v>
      </c>
      <c r="I33" s="15">
        <f>YEAR(tblClean[[#This Row],[Date]])</f>
        <v>2020</v>
      </c>
    </row>
    <row r="34" spans="1:9" x14ac:dyDescent="0.25">
      <c r="A34" s="6">
        <v>43880</v>
      </c>
      <c r="B34" s="1" t="s">
        <v>81</v>
      </c>
      <c r="C34" s="3" t="str">
        <f>TRIM(CLEAN(PROPER(tblClean[[#This Row],[Transaction Description]])))</f>
        <v>Interest Level Rock Pull.</v>
      </c>
      <c r="D34" s="1" t="s">
        <v>16</v>
      </c>
      <c r="E34" s="3" t="str">
        <f>TRIM(CLEAN(PROPER(tblClean[[#This Row],[Category]])))</f>
        <v>Investment</v>
      </c>
      <c r="F34" s="10" t="s">
        <v>82</v>
      </c>
      <c r="G34" s="1" t="s">
        <v>18</v>
      </c>
      <c r="H34" s="15">
        <f>MONTH(tblClean[[#This Row],[Date]])</f>
        <v>2</v>
      </c>
      <c r="I34" s="15">
        <f>YEAR(tblClean[[#This Row],[Date]])</f>
        <v>2020</v>
      </c>
    </row>
    <row r="35" spans="1:9" x14ac:dyDescent="0.25">
      <c r="A35" s="7">
        <v>43881</v>
      </c>
      <c r="B35" s="2" t="s">
        <v>83</v>
      </c>
      <c r="C35" s="4" t="str">
        <f>TRIM(CLEAN(PROPER(tblClean[[#This Row],[Transaction Description]])))</f>
        <v>I Fund.</v>
      </c>
      <c r="D35" s="2" t="s">
        <v>22</v>
      </c>
      <c r="E35" s="3" t="str">
        <f>TRIM(CLEAN(PROPER(tblClean[[#This Row],[Category]])))</f>
        <v>Shopping</v>
      </c>
      <c r="F35" s="11" t="s">
        <v>84</v>
      </c>
      <c r="G35" s="2" t="s">
        <v>8</v>
      </c>
      <c r="H35" s="15">
        <f>MONTH(tblClean[[#This Row],[Date]])</f>
        <v>2</v>
      </c>
      <c r="I35" s="15">
        <f>YEAR(tblClean[[#This Row],[Date]])</f>
        <v>2020</v>
      </c>
    </row>
    <row r="36" spans="1:9" x14ac:dyDescent="0.25">
      <c r="A36" s="6">
        <v>43887</v>
      </c>
      <c r="B36" s="1" t="s">
        <v>85</v>
      </c>
      <c r="C36" s="3" t="str">
        <f>TRIM(CLEAN(PROPER(tblClean[[#This Row],[Transaction Description]])))</f>
        <v>Court Movie Cell.</v>
      </c>
      <c r="D36" s="1" t="s">
        <v>53</v>
      </c>
      <c r="E36" s="3" t="str">
        <f>TRIM(CLEAN(PROPER(tblClean[[#This Row],[Category]])))</f>
        <v>Travel</v>
      </c>
      <c r="F36" s="10" t="s">
        <v>86</v>
      </c>
      <c r="G36" s="1" t="s">
        <v>8</v>
      </c>
      <c r="H36" s="15">
        <f>MONTH(tblClean[[#This Row],[Date]])</f>
        <v>2</v>
      </c>
      <c r="I36" s="15">
        <f>YEAR(tblClean[[#This Row],[Date]])</f>
        <v>2020</v>
      </c>
    </row>
    <row r="37" spans="1:9" x14ac:dyDescent="0.25">
      <c r="A37" s="7">
        <v>43888</v>
      </c>
      <c r="B37" s="2" t="s">
        <v>87</v>
      </c>
      <c r="C37" s="4" t="str">
        <f>TRIM(CLEAN(PROPER(tblClean[[#This Row],[Transaction Description]])))</f>
        <v>Leg Themselves Away.</v>
      </c>
      <c r="D37" s="2" t="s">
        <v>6</v>
      </c>
      <c r="E37" s="3" t="str">
        <f>TRIM(CLEAN(PROPER(tblClean[[#This Row],[Category]])))</f>
        <v>Food &amp; Drink</v>
      </c>
      <c r="F37" s="11" t="s">
        <v>88</v>
      </c>
      <c r="G37" s="2" t="s">
        <v>8</v>
      </c>
      <c r="H37" s="15">
        <f>MONTH(tblClean[[#This Row],[Date]])</f>
        <v>2</v>
      </c>
      <c r="I37" s="15">
        <f>YEAR(tblClean[[#This Row],[Date]])</f>
        <v>2020</v>
      </c>
    </row>
    <row r="38" spans="1:9" x14ac:dyDescent="0.25">
      <c r="A38" s="6">
        <v>43889</v>
      </c>
      <c r="B38" s="1" t="s">
        <v>89</v>
      </c>
      <c r="C38" s="3" t="str">
        <f>TRIM(CLEAN(PROPER(tblClean[[#This Row],[Transaction Description]])))</f>
        <v>Anything Yourself.</v>
      </c>
      <c r="D38" s="1" t="s">
        <v>27</v>
      </c>
      <c r="E38" s="3" t="str">
        <f>TRIM(CLEAN(PROPER(tblClean[[#This Row],[Category]])))</f>
        <v>Other</v>
      </c>
      <c r="F38" s="10" t="s">
        <v>90</v>
      </c>
      <c r="G38" s="1" t="s">
        <v>18</v>
      </c>
      <c r="H38" s="15">
        <f>MONTH(tblClean[[#This Row],[Date]])</f>
        <v>2</v>
      </c>
      <c r="I38" s="15">
        <f>YEAR(tblClean[[#This Row],[Date]])</f>
        <v>2020</v>
      </c>
    </row>
    <row r="39" spans="1:9" x14ac:dyDescent="0.25">
      <c r="A39" s="7">
        <v>43889</v>
      </c>
      <c r="B39" s="2" t="s">
        <v>91</v>
      </c>
      <c r="C39" s="4" t="str">
        <f>TRIM(CLEAN(PROPER(tblClean[[#This Row],[Transaction Description]])))</f>
        <v>Unit Support.</v>
      </c>
      <c r="D39" s="2" t="s">
        <v>27</v>
      </c>
      <c r="E39" s="3" t="str">
        <f>TRIM(CLEAN(PROPER(tblClean[[#This Row],[Category]])))</f>
        <v>Other</v>
      </c>
      <c r="F39" s="11" t="s">
        <v>92</v>
      </c>
      <c r="G39" s="2" t="s">
        <v>18</v>
      </c>
      <c r="H39" s="15">
        <f>MONTH(tblClean[[#This Row],[Date]])</f>
        <v>2</v>
      </c>
      <c r="I39" s="15">
        <f>YEAR(tblClean[[#This Row],[Date]])</f>
        <v>2020</v>
      </c>
    </row>
    <row r="40" spans="1:9" x14ac:dyDescent="0.25">
      <c r="A40" s="6">
        <v>43890</v>
      </c>
      <c r="B40" s="1" t="s">
        <v>93</v>
      </c>
      <c r="C40" s="3" t="str">
        <f>TRIM(CLEAN(PROPER(tblClean[[#This Row],[Transaction Description]])))</f>
        <v>Magazine Degree Husband Around.</v>
      </c>
      <c r="D40" s="1" t="s">
        <v>53</v>
      </c>
      <c r="E40" s="3" t="str">
        <f>TRIM(CLEAN(PROPER(tblClean[[#This Row],[Category]])))</f>
        <v>Travel</v>
      </c>
      <c r="F40" s="10" t="s">
        <v>94</v>
      </c>
      <c r="G40" s="1" t="s">
        <v>8</v>
      </c>
      <c r="H40" s="15">
        <f>MONTH(tblClean[[#This Row],[Date]])</f>
        <v>2</v>
      </c>
      <c r="I40" s="15">
        <f>YEAR(tblClean[[#This Row],[Date]])</f>
        <v>2020</v>
      </c>
    </row>
    <row r="41" spans="1:9" x14ac:dyDescent="0.25">
      <c r="A41" s="7">
        <v>43893</v>
      </c>
      <c r="B41" s="2" t="s">
        <v>95</v>
      </c>
      <c r="C41" s="4" t="str">
        <f>TRIM(CLEAN(PROPER(tblClean[[#This Row],[Transaction Description]])))</f>
        <v>World Enter.</v>
      </c>
      <c r="D41" s="2" t="s">
        <v>13</v>
      </c>
      <c r="E41" s="3" t="str">
        <f>TRIM(CLEAN(PROPER(tblClean[[#This Row],[Category]])))</f>
        <v>Rent</v>
      </c>
      <c r="F41" s="11" t="s">
        <v>96</v>
      </c>
      <c r="G41" s="2" t="s">
        <v>8</v>
      </c>
      <c r="H41" s="15">
        <f>MONTH(tblClean[[#This Row],[Date]])</f>
        <v>3</v>
      </c>
      <c r="I41" s="15">
        <f>YEAR(tblClean[[#This Row],[Date]])</f>
        <v>2020</v>
      </c>
    </row>
    <row r="42" spans="1:9" x14ac:dyDescent="0.25">
      <c r="A42" s="6">
        <v>43894</v>
      </c>
      <c r="B42" s="1" t="s">
        <v>97</v>
      </c>
      <c r="C42" s="3" t="str">
        <f>TRIM(CLEAN(PROPER(tblClean[[#This Row],[Transaction Description]])))</f>
        <v>Institution Whatever Yet.</v>
      </c>
      <c r="D42" s="1" t="s">
        <v>30</v>
      </c>
      <c r="E42" s="3" t="str">
        <f>TRIM(CLEAN(PROPER(tblClean[[#This Row],[Category]])))</f>
        <v>Entertainment</v>
      </c>
      <c r="F42" s="10" t="s">
        <v>98</v>
      </c>
      <c r="G42" s="1" t="s">
        <v>8</v>
      </c>
      <c r="H42" s="15">
        <f>MONTH(tblClean[[#This Row],[Date]])</f>
        <v>3</v>
      </c>
      <c r="I42" s="15">
        <f>YEAR(tblClean[[#This Row],[Date]])</f>
        <v>2020</v>
      </c>
    </row>
    <row r="43" spans="1:9" x14ac:dyDescent="0.25">
      <c r="A43" s="7">
        <v>43894</v>
      </c>
      <c r="B43" s="2" t="s">
        <v>99</v>
      </c>
      <c r="C43" s="4" t="str">
        <f>TRIM(CLEAN(PROPER(tblClean[[#This Row],[Transaction Description]])))</f>
        <v>Choice Father Why Often.</v>
      </c>
      <c r="D43" s="2" t="s">
        <v>6</v>
      </c>
      <c r="E43" s="3" t="str">
        <f>TRIM(CLEAN(PROPER(tblClean[[#This Row],[Category]])))</f>
        <v>Food &amp; Drink</v>
      </c>
      <c r="F43" s="11" t="s">
        <v>100</v>
      </c>
      <c r="G43" s="2" t="s">
        <v>8</v>
      </c>
      <c r="H43" s="15">
        <f>MONTH(tblClean[[#This Row],[Date]])</f>
        <v>3</v>
      </c>
      <c r="I43" s="15">
        <f>YEAR(tblClean[[#This Row],[Date]])</f>
        <v>2020</v>
      </c>
    </row>
    <row r="44" spans="1:9" x14ac:dyDescent="0.25">
      <c r="A44" s="6">
        <v>43899</v>
      </c>
      <c r="B44" s="1" t="s">
        <v>101</v>
      </c>
      <c r="C44" s="3" t="str">
        <f>TRIM(CLEAN(PROPER(tblClean[[#This Row],[Transaction Description]])))</f>
        <v>Security Arm.</v>
      </c>
      <c r="D44" s="1" t="s">
        <v>13</v>
      </c>
      <c r="E44" s="3" t="str">
        <f>TRIM(CLEAN(PROPER(tblClean[[#This Row],[Category]])))</f>
        <v>Rent</v>
      </c>
      <c r="F44" s="10" t="s">
        <v>102</v>
      </c>
      <c r="G44" s="1" t="s">
        <v>8</v>
      </c>
      <c r="H44" s="15">
        <f>MONTH(tblClean[[#This Row],[Date]])</f>
        <v>3</v>
      </c>
      <c r="I44" s="15">
        <f>YEAR(tblClean[[#This Row],[Date]])</f>
        <v>2020</v>
      </c>
    </row>
    <row r="45" spans="1:9" x14ac:dyDescent="0.25">
      <c r="A45" s="7">
        <v>43899</v>
      </c>
      <c r="B45" s="2" t="s">
        <v>103</v>
      </c>
      <c r="C45" s="4" t="str">
        <f>TRIM(CLEAN(PROPER(tblClean[[#This Row],[Transaction Description]])))</f>
        <v>Me System Church Whether.</v>
      </c>
      <c r="D45" s="2" t="s">
        <v>53</v>
      </c>
      <c r="E45" s="3" t="str">
        <f>TRIM(CLEAN(PROPER(tblClean[[#This Row],[Category]])))</f>
        <v>Travel</v>
      </c>
      <c r="F45" s="11" t="s">
        <v>104</v>
      </c>
      <c r="G45" s="2" t="s">
        <v>8</v>
      </c>
      <c r="H45" s="15">
        <f>MONTH(tblClean[[#This Row],[Date]])</f>
        <v>3</v>
      </c>
      <c r="I45" s="15">
        <f>YEAR(tblClean[[#This Row],[Date]])</f>
        <v>2020</v>
      </c>
    </row>
    <row r="46" spans="1:9" x14ac:dyDescent="0.25">
      <c r="A46" s="6">
        <v>43901</v>
      </c>
      <c r="B46" s="1" t="s">
        <v>105</v>
      </c>
      <c r="C46" s="3" t="str">
        <f>TRIM(CLEAN(PROPER(tblClean[[#This Row],[Transaction Description]])))</f>
        <v>Attention Attack Technology.</v>
      </c>
      <c r="D46" s="1" t="s">
        <v>13</v>
      </c>
      <c r="E46" s="3" t="str">
        <f>TRIM(CLEAN(PROPER(tblClean[[#This Row],[Category]])))</f>
        <v>Rent</v>
      </c>
      <c r="F46" s="10" t="s">
        <v>106</v>
      </c>
      <c r="G46" s="1" t="s">
        <v>8</v>
      </c>
      <c r="H46" s="15">
        <f>MONTH(tblClean[[#This Row],[Date]])</f>
        <v>3</v>
      </c>
      <c r="I46" s="15">
        <f>YEAR(tblClean[[#This Row],[Date]])</f>
        <v>2020</v>
      </c>
    </row>
    <row r="47" spans="1:9" x14ac:dyDescent="0.25">
      <c r="A47" s="7">
        <v>43901</v>
      </c>
      <c r="B47" s="2" t="s">
        <v>107</v>
      </c>
      <c r="C47" s="4" t="str">
        <f>TRIM(CLEAN(PROPER(tblClean[[#This Row],[Transaction Description]])))</f>
        <v>Walk Now Often.</v>
      </c>
      <c r="D47" s="2" t="s">
        <v>13</v>
      </c>
      <c r="E47" s="3" t="str">
        <f>TRIM(CLEAN(PROPER(tblClean[[#This Row],[Category]])))</f>
        <v>Rent</v>
      </c>
      <c r="F47" s="11" t="s">
        <v>108</v>
      </c>
      <c r="G47" s="2" t="s">
        <v>8</v>
      </c>
      <c r="H47" s="15">
        <f>MONTH(tblClean[[#This Row],[Date]])</f>
        <v>3</v>
      </c>
      <c r="I47" s="15">
        <f>YEAR(tblClean[[#This Row],[Date]])</f>
        <v>2020</v>
      </c>
    </row>
    <row r="48" spans="1:9" x14ac:dyDescent="0.25">
      <c r="A48" s="6">
        <v>43902</v>
      </c>
      <c r="B48" s="1" t="s">
        <v>109</v>
      </c>
      <c r="C48" s="3" t="str">
        <f>TRIM(CLEAN(PROPER(tblClean[[#This Row],[Transaction Description]])))</f>
        <v>Bank Price North First End.</v>
      </c>
      <c r="D48" s="1" t="s">
        <v>10</v>
      </c>
      <c r="E48" s="3" t="str">
        <f>TRIM(CLEAN(PROPER(tblClean[[#This Row],[Category]])))</f>
        <v>Utilities</v>
      </c>
      <c r="F48" s="10" t="s">
        <v>110</v>
      </c>
      <c r="G48" s="1" t="s">
        <v>8</v>
      </c>
      <c r="H48" s="15">
        <f>MONTH(tblClean[[#This Row],[Date]])</f>
        <v>3</v>
      </c>
      <c r="I48" s="15">
        <f>YEAR(tblClean[[#This Row],[Date]])</f>
        <v>2020</v>
      </c>
    </row>
    <row r="49" spans="1:9" x14ac:dyDescent="0.25">
      <c r="A49" s="7">
        <v>43902</v>
      </c>
      <c r="B49" s="2" t="s">
        <v>111</v>
      </c>
      <c r="C49" s="4" t="str">
        <f>TRIM(CLEAN(PROPER(tblClean[[#This Row],[Transaction Description]])))</f>
        <v>Enter Capital Population.</v>
      </c>
      <c r="D49" s="2" t="s">
        <v>10</v>
      </c>
      <c r="E49" s="3" t="str">
        <f>TRIM(CLEAN(PROPER(tblClean[[#This Row],[Category]])))</f>
        <v>Utilities</v>
      </c>
      <c r="F49" s="11" t="s">
        <v>112</v>
      </c>
      <c r="G49" s="2" t="s">
        <v>8</v>
      </c>
      <c r="H49" s="15">
        <f>MONTH(tblClean[[#This Row],[Date]])</f>
        <v>3</v>
      </c>
      <c r="I49" s="15">
        <f>YEAR(tblClean[[#This Row],[Date]])</f>
        <v>2020</v>
      </c>
    </row>
    <row r="50" spans="1:9" x14ac:dyDescent="0.25">
      <c r="A50" s="6">
        <v>43904</v>
      </c>
      <c r="B50" s="1" t="s">
        <v>113</v>
      </c>
      <c r="C50" s="3" t="str">
        <f>TRIM(CLEAN(PROPER(tblClean[[#This Row],[Transaction Description]])))</f>
        <v>Upon Very Act Perform.</v>
      </c>
      <c r="D50" s="1" t="s">
        <v>22</v>
      </c>
      <c r="E50" s="3" t="str">
        <f>TRIM(CLEAN(PROPER(tblClean[[#This Row],[Category]])))</f>
        <v>Shopping</v>
      </c>
      <c r="F50" s="10" t="s">
        <v>114</v>
      </c>
      <c r="G50" s="1" t="s">
        <v>8</v>
      </c>
      <c r="H50" s="15">
        <f>MONTH(tblClean[[#This Row],[Date]])</f>
        <v>3</v>
      </c>
      <c r="I50" s="15">
        <f>YEAR(tblClean[[#This Row],[Date]])</f>
        <v>2020</v>
      </c>
    </row>
    <row r="51" spans="1:9" x14ac:dyDescent="0.25">
      <c r="A51" s="7">
        <v>43905</v>
      </c>
      <c r="B51" s="2" t="s">
        <v>115</v>
      </c>
      <c r="C51" s="4" t="str">
        <f>TRIM(CLEAN(PROPER(tblClean[[#This Row],[Transaction Description]])))</f>
        <v>Available Defense.</v>
      </c>
      <c r="D51" s="2" t="s">
        <v>30</v>
      </c>
      <c r="E51" s="3" t="str">
        <f>TRIM(CLEAN(PROPER(tblClean[[#This Row],[Category]])))</f>
        <v>Entertainment</v>
      </c>
      <c r="F51" s="11" t="s">
        <v>116</v>
      </c>
      <c r="G51" s="2" t="s">
        <v>8</v>
      </c>
      <c r="H51" s="15">
        <f>MONTH(tblClean[[#This Row],[Date]])</f>
        <v>3</v>
      </c>
      <c r="I51" s="15">
        <f>YEAR(tblClean[[#This Row],[Date]])</f>
        <v>2020</v>
      </c>
    </row>
    <row r="52" spans="1:9" x14ac:dyDescent="0.25">
      <c r="A52" s="6">
        <v>43908</v>
      </c>
      <c r="B52" s="1" t="s">
        <v>117</v>
      </c>
      <c r="C52" s="3" t="str">
        <f>TRIM(CLEAN(PROPER(tblClean[[#This Row],[Transaction Description]])))</f>
        <v>Value Thing These.</v>
      </c>
      <c r="D52" s="1" t="s">
        <v>35</v>
      </c>
      <c r="E52" s="3" t="str">
        <f>TRIM(CLEAN(PROPER(tblClean[[#This Row],[Category]])))</f>
        <v>Health &amp; Fitness</v>
      </c>
      <c r="F52" s="10" t="s">
        <v>118</v>
      </c>
      <c r="G52" s="1" t="s">
        <v>8</v>
      </c>
      <c r="H52" s="15">
        <f>MONTH(tblClean[[#This Row],[Date]])</f>
        <v>3</v>
      </c>
      <c r="I52" s="15">
        <f>YEAR(tblClean[[#This Row],[Date]])</f>
        <v>2020</v>
      </c>
    </row>
    <row r="53" spans="1:9" x14ac:dyDescent="0.25">
      <c r="A53" s="7">
        <v>43911</v>
      </c>
      <c r="B53" s="2" t="s">
        <v>119</v>
      </c>
      <c r="C53" s="4" t="str">
        <f>TRIM(CLEAN(PROPER(tblClean[[#This Row],[Transaction Description]])))</f>
        <v>Citizen Street Region.</v>
      </c>
      <c r="D53" s="2" t="s">
        <v>13</v>
      </c>
      <c r="E53" s="3" t="str">
        <f>TRIM(CLEAN(PROPER(tblClean[[#This Row],[Category]])))</f>
        <v>Rent</v>
      </c>
      <c r="F53" s="11" t="s">
        <v>120</v>
      </c>
      <c r="G53" s="2" t="s">
        <v>8</v>
      </c>
      <c r="H53" s="15">
        <f>MONTH(tblClean[[#This Row],[Date]])</f>
        <v>3</v>
      </c>
      <c r="I53" s="15">
        <f>YEAR(tblClean[[#This Row],[Date]])</f>
        <v>2020</v>
      </c>
    </row>
    <row r="54" spans="1:9" x14ac:dyDescent="0.25">
      <c r="A54" s="7">
        <v>43913</v>
      </c>
      <c r="B54" s="2" t="s">
        <v>123</v>
      </c>
      <c r="C54" s="4" t="str">
        <f>TRIM(CLEAN(PROPER(tblClean[[#This Row],[Transaction Description]])))</f>
        <v>Enough Threat Score.</v>
      </c>
      <c r="D54" s="2" t="s">
        <v>6</v>
      </c>
      <c r="E54" s="3" t="str">
        <f>TRIM(CLEAN(PROPER(tblClean[[#This Row],[Category]])))</f>
        <v>Food &amp; Drink</v>
      </c>
      <c r="F54" s="11" t="s">
        <v>124</v>
      </c>
      <c r="G54" s="2" t="s">
        <v>8</v>
      </c>
      <c r="H54" s="15">
        <f>MONTH(tblClean[[#This Row],[Date]])</f>
        <v>3</v>
      </c>
      <c r="I54" s="15">
        <f>YEAR(tblClean[[#This Row],[Date]])</f>
        <v>2020</v>
      </c>
    </row>
    <row r="55" spans="1:9" x14ac:dyDescent="0.25">
      <c r="A55" s="6">
        <v>43913</v>
      </c>
      <c r="B55" s="1" t="s">
        <v>121</v>
      </c>
      <c r="C55" s="3" t="str">
        <f>TRIM(CLEAN(PROPER(tblClean[[#This Row],[Transaction Description]])))</f>
        <v>Property Never.</v>
      </c>
      <c r="D55" s="1" t="s">
        <v>16</v>
      </c>
      <c r="E55" s="3" t="str">
        <f>TRIM(CLEAN(PROPER(tblClean[[#This Row],[Category]])))</f>
        <v>Investment</v>
      </c>
      <c r="F55" s="10" t="s">
        <v>122</v>
      </c>
      <c r="G55" s="1" t="s">
        <v>18</v>
      </c>
      <c r="H55" s="15">
        <f>MONTH(tblClean[[#This Row],[Date]])</f>
        <v>3</v>
      </c>
      <c r="I55" s="15">
        <f>YEAR(tblClean[[#This Row],[Date]])</f>
        <v>2020</v>
      </c>
    </row>
    <row r="56" spans="1:9" x14ac:dyDescent="0.25">
      <c r="A56" s="6">
        <v>43914</v>
      </c>
      <c r="B56" s="1" t="s">
        <v>125</v>
      </c>
      <c r="C56" s="3" t="str">
        <f>TRIM(CLEAN(PROPER(tblClean[[#This Row],[Transaction Description]])))</f>
        <v>Example Decision Garden.</v>
      </c>
      <c r="D56" s="1" t="s">
        <v>30</v>
      </c>
      <c r="E56" s="3" t="str">
        <f>TRIM(CLEAN(PROPER(tblClean[[#This Row],[Category]])))</f>
        <v>Entertainment</v>
      </c>
      <c r="F56" s="10" t="s">
        <v>126</v>
      </c>
      <c r="G56" s="1" t="s">
        <v>8</v>
      </c>
      <c r="H56" s="15">
        <f>MONTH(tblClean[[#This Row],[Date]])</f>
        <v>3</v>
      </c>
      <c r="I56" s="15">
        <f>YEAR(tblClean[[#This Row],[Date]])</f>
        <v>2020</v>
      </c>
    </row>
    <row r="57" spans="1:9" x14ac:dyDescent="0.25">
      <c r="A57" s="7">
        <v>43918</v>
      </c>
      <c r="B57" s="2" t="s">
        <v>127</v>
      </c>
      <c r="C57" s="4" t="str">
        <f>TRIM(CLEAN(PROPER(tblClean[[#This Row],[Transaction Description]])))</f>
        <v>Major Town Suffer Begin.</v>
      </c>
      <c r="D57" s="2" t="s">
        <v>27</v>
      </c>
      <c r="E57" s="3" t="str">
        <f>TRIM(CLEAN(PROPER(tblClean[[#This Row],[Category]])))</f>
        <v>Other</v>
      </c>
      <c r="F57" s="11" t="s">
        <v>128</v>
      </c>
      <c r="G57" s="2" t="s">
        <v>18</v>
      </c>
      <c r="H57" s="15">
        <f>MONTH(tblClean[[#This Row],[Date]])</f>
        <v>3</v>
      </c>
      <c r="I57" s="15">
        <f>YEAR(tblClean[[#This Row],[Date]])</f>
        <v>2020</v>
      </c>
    </row>
    <row r="58" spans="1:9" x14ac:dyDescent="0.25">
      <c r="A58" s="6">
        <v>43922</v>
      </c>
      <c r="B58" s="1" t="s">
        <v>129</v>
      </c>
      <c r="C58" s="3" t="str">
        <f>TRIM(CLEAN(PROPER(tblClean[[#This Row],[Transaction Description]])))</f>
        <v>Analysis Four Capital.</v>
      </c>
      <c r="D58" s="1" t="s">
        <v>53</v>
      </c>
      <c r="E58" s="3" t="str">
        <f>TRIM(CLEAN(PROPER(tblClean[[#This Row],[Category]])))</f>
        <v>Travel</v>
      </c>
      <c r="F58" s="10" t="s">
        <v>130</v>
      </c>
      <c r="G58" s="1" t="s">
        <v>8</v>
      </c>
      <c r="H58" s="15">
        <f>MONTH(tblClean[[#This Row],[Date]])</f>
        <v>4</v>
      </c>
      <c r="I58" s="15">
        <f>YEAR(tblClean[[#This Row],[Date]])</f>
        <v>2020</v>
      </c>
    </row>
    <row r="59" spans="1:9" x14ac:dyDescent="0.25">
      <c r="A59" s="7">
        <v>43926</v>
      </c>
      <c r="B59" s="2" t="s">
        <v>131</v>
      </c>
      <c r="C59" s="4" t="str">
        <f>TRIM(CLEAN(PROPER(tblClean[[#This Row],[Transaction Description]])))</f>
        <v>Scientist Necessary Into.</v>
      </c>
      <c r="D59" s="2" t="s">
        <v>10</v>
      </c>
      <c r="E59" s="3" t="str">
        <f>TRIM(CLEAN(PROPER(tblClean[[#This Row],[Category]])))</f>
        <v>Utilities</v>
      </c>
      <c r="F59" s="11" t="s">
        <v>132</v>
      </c>
      <c r="G59" s="2" t="s">
        <v>8</v>
      </c>
      <c r="H59" s="15">
        <f>MONTH(tblClean[[#This Row],[Date]])</f>
        <v>4</v>
      </c>
      <c r="I59" s="15">
        <f>YEAR(tblClean[[#This Row],[Date]])</f>
        <v>2020</v>
      </c>
    </row>
    <row r="60" spans="1:9" x14ac:dyDescent="0.25">
      <c r="A60" s="6">
        <v>43927</v>
      </c>
      <c r="B60" s="1" t="s">
        <v>133</v>
      </c>
      <c r="C60" s="3" t="str">
        <f>TRIM(CLEAN(PROPER(tblClean[[#This Row],[Transaction Description]])))</f>
        <v>Away Third.</v>
      </c>
      <c r="D60" s="1" t="s">
        <v>38</v>
      </c>
      <c r="E60" s="3" t="str">
        <f>TRIM(CLEAN(PROPER(tblClean[[#This Row],[Category]])))</f>
        <v>Salary</v>
      </c>
      <c r="F60" s="10" t="s">
        <v>134</v>
      </c>
      <c r="G60" s="1" t="s">
        <v>8</v>
      </c>
      <c r="H60" s="15">
        <f>MONTH(tblClean[[#This Row],[Date]])</f>
        <v>4</v>
      </c>
      <c r="I60" s="15">
        <f>YEAR(tblClean[[#This Row],[Date]])</f>
        <v>2020</v>
      </c>
    </row>
    <row r="61" spans="1:9" x14ac:dyDescent="0.25">
      <c r="A61" s="7">
        <v>43927</v>
      </c>
      <c r="B61" s="2" t="s">
        <v>135</v>
      </c>
      <c r="C61" s="4" t="str">
        <f>TRIM(CLEAN(PROPER(tblClean[[#This Row],[Transaction Description]])))</f>
        <v>Along Hard Need Involve Among.</v>
      </c>
      <c r="D61" s="2" t="s">
        <v>22</v>
      </c>
      <c r="E61" s="3" t="str">
        <f>TRIM(CLEAN(PROPER(tblClean[[#This Row],[Category]])))</f>
        <v>Shopping</v>
      </c>
      <c r="F61" s="11" t="s">
        <v>136</v>
      </c>
      <c r="G61" s="2" t="s">
        <v>8</v>
      </c>
      <c r="H61" s="15">
        <f>MONTH(tblClean[[#This Row],[Date]])</f>
        <v>4</v>
      </c>
      <c r="I61" s="15">
        <f>YEAR(tblClean[[#This Row],[Date]])</f>
        <v>2020</v>
      </c>
    </row>
    <row r="62" spans="1:9" x14ac:dyDescent="0.25">
      <c r="A62" s="6">
        <v>43931</v>
      </c>
      <c r="B62" s="1" t="s">
        <v>137</v>
      </c>
      <c r="C62" s="3" t="str">
        <f>TRIM(CLEAN(PROPER(tblClean[[#This Row],[Transaction Description]])))</f>
        <v>Together Decide.</v>
      </c>
      <c r="D62" s="1" t="s">
        <v>27</v>
      </c>
      <c r="E62" s="3" t="str">
        <f>TRIM(CLEAN(PROPER(tblClean[[#This Row],[Category]])))</f>
        <v>Other</v>
      </c>
      <c r="F62" s="10" t="s">
        <v>138</v>
      </c>
      <c r="G62" s="1" t="s">
        <v>18</v>
      </c>
      <c r="H62" s="15">
        <f>MONTH(tblClean[[#This Row],[Date]])</f>
        <v>4</v>
      </c>
      <c r="I62" s="15">
        <f>YEAR(tblClean[[#This Row],[Date]])</f>
        <v>2020</v>
      </c>
    </row>
    <row r="63" spans="1:9" x14ac:dyDescent="0.25">
      <c r="A63" s="6">
        <v>43938</v>
      </c>
      <c r="B63" s="1" t="s">
        <v>141</v>
      </c>
      <c r="C63" s="3" t="str">
        <f>TRIM(CLEAN(PROPER(tblClean[[#This Row],[Transaction Description]])))</f>
        <v>See Understand Door Class Son.</v>
      </c>
      <c r="D63" s="1" t="s">
        <v>16</v>
      </c>
      <c r="E63" s="3" t="str">
        <f>TRIM(CLEAN(PROPER(tblClean[[#This Row],[Category]])))</f>
        <v>Investment</v>
      </c>
      <c r="F63" s="10" t="s">
        <v>142</v>
      </c>
      <c r="G63" s="1" t="s">
        <v>18</v>
      </c>
      <c r="H63" s="15">
        <f>MONTH(tblClean[[#This Row],[Date]])</f>
        <v>4</v>
      </c>
      <c r="I63" s="15">
        <f>YEAR(tblClean[[#This Row],[Date]])</f>
        <v>2020</v>
      </c>
    </row>
    <row r="64" spans="1:9" x14ac:dyDescent="0.25">
      <c r="A64" s="7">
        <v>43938</v>
      </c>
      <c r="B64" s="2" t="s">
        <v>139</v>
      </c>
      <c r="C64" s="4" t="str">
        <f>TRIM(CLEAN(PROPER(tblClean[[#This Row],[Transaction Description]])))</f>
        <v>Government Nice.</v>
      </c>
      <c r="D64" s="2" t="s">
        <v>38</v>
      </c>
      <c r="E64" s="3" t="str">
        <f>TRIM(CLEAN(PROPER(tblClean[[#This Row],[Category]])))</f>
        <v>Salary</v>
      </c>
      <c r="F64" s="11" t="s">
        <v>140</v>
      </c>
      <c r="G64" s="2" t="s">
        <v>8</v>
      </c>
      <c r="H64" s="15">
        <f>MONTH(tblClean[[#This Row],[Date]])</f>
        <v>4</v>
      </c>
      <c r="I64" s="15">
        <f>YEAR(tblClean[[#This Row],[Date]])</f>
        <v>2020</v>
      </c>
    </row>
    <row r="65" spans="1:9" x14ac:dyDescent="0.25">
      <c r="A65" s="7">
        <v>43939</v>
      </c>
      <c r="B65" s="2" t="s">
        <v>143</v>
      </c>
      <c r="C65" s="4" t="str">
        <f>TRIM(CLEAN(PROPER(tblClean[[#This Row],[Transaction Description]])))</f>
        <v>Agent Say Forward Us.</v>
      </c>
      <c r="D65" s="2" t="s">
        <v>35</v>
      </c>
      <c r="E65" s="3" t="str">
        <f>TRIM(CLEAN(PROPER(tblClean[[#This Row],[Category]])))</f>
        <v>Health &amp; Fitness</v>
      </c>
      <c r="F65" s="11" t="s">
        <v>144</v>
      </c>
      <c r="G65" s="2" t="s">
        <v>8</v>
      </c>
      <c r="H65" s="15">
        <f>MONTH(tblClean[[#This Row],[Date]])</f>
        <v>4</v>
      </c>
      <c r="I65" s="15">
        <f>YEAR(tblClean[[#This Row],[Date]])</f>
        <v>2020</v>
      </c>
    </row>
    <row r="66" spans="1:9" x14ac:dyDescent="0.25">
      <c r="A66" s="6">
        <v>43943</v>
      </c>
      <c r="B66" s="1" t="s">
        <v>145</v>
      </c>
      <c r="C66" s="3" t="str">
        <f>TRIM(CLEAN(PROPER(tblClean[[#This Row],[Transaction Description]])))</f>
        <v>City Red Him.</v>
      </c>
      <c r="D66" s="1" t="s">
        <v>16</v>
      </c>
      <c r="E66" s="3" t="str">
        <f>TRIM(CLEAN(PROPER(tblClean[[#This Row],[Category]])))</f>
        <v>Investment</v>
      </c>
      <c r="F66" s="10" t="s">
        <v>146</v>
      </c>
      <c r="G66" s="1" t="s">
        <v>18</v>
      </c>
      <c r="H66" s="15">
        <f>MONTH(tblClean[[#This Row],[Date]])</f>
        <v>4</v>
      </c>
      <c r="I66" s="15">
        <f>YEAR(tblClean[[#This Row],[Date]])</f>
        <v>2020</v>
      </c>
    </row>
    <row r="67" spans="1:9" x14ac:dyDescent="0.25">
      <c r="A67" s="7">
        <v>43944</v>
      </c>
      <c r="B67" s="2" t="s">
        <v>147</v>
      </c>
      <c r="C67" s="4" t="str">
        <f>TRIM(CLEAN(PROPER(tblClean[[#This Row],[Transaction Description]])))</f>
        <v>Develop Staff Least Figure.</v>
      </c>
      <c r="D67" s="2" t="s">
        <v>10</v>
      </c>
      <c r="E67" s="3" t="str">
        <f>TRIM(CLEAN(PROPER(tblClean[[#This Row],[Category]])))</f>
        <v>Utilities</v>
      </c>
      <c r="F67" s="11" t="s">
        <v>148</v>
      </c>
      <c r="G67" s="2" t="s">
        <v>8</v>
      </c>
      <c r="H67" s="15">
        <f>MONTH(tblClean[[#This Row],[Date]])</f>
        <v>4</v>
      </c>
      <c r="I67" s="15">
        <f>YEAR(tblClean[[#This Row],[Date]])</f>
        <v>2020</v>
      </c>
    </row>
    <row r="68" spans="1:9" x14ac:dyDescent="0.25">
      <c r="A68" s="6">
        <v>43946</v>
      </c>
      <c r="B68" s="1" t="s">
        <v>149</v>
      </c>
      <c r="C68" s="3" t="str">
        <f>TRIM(CLEAN(PROPER(tblClean[[#This Row],[Transaction Description]])))</f>
        <v>Age Cover Foreign.</v>
      </c>
      <c r="D68" s="1" t="s">
        <v>30</v>
      </c>
      <c r="E68" s="3" t="str">
        <f>TRIM(CLEAN(PROPER(tblClean[[#This Row],[Category]])))</f>
        <v>Entertainment</v>
      </c>
      <c r="F68" s="10" t="s">
        <v>150</v>
      </c>
      <c r="G68" s="1" t="s">
        <v>8</v>
      </c>
      <c r="H68" s="15">
        <f>MONTH(tblClean[[#This Row],[Date]])</f>
        <v>4</v>
      </c>
      <c r="I68" s="15">
        <f>YEAR(tblClean[[#This Row],[Date]])</f>
        <v>2020</v>
      </c>
    </row>
    <row r="69" spans="1:9" x14ac:dyDescent="0.25">
      <c r="A69" s="6">
        <v>43947</v>
      </c>
      <c r="B69" s="1" t="s">
        <v>153</v>
      </c>
      <c r="C69" s="3" t="str">
        <f>TRIM(CLEAN(PROPER(tblClean[[#This Row],[Transaction Description]])))</f>
        <v>Voice Boy Wife Condition.</v>
      </c>
      <c r="D69" s="1" t="s">
        <v>6</v>
      </c>
      <c r="E69" s="3" t="str">
        <f>TRIM(CLEAN(PROPER(tblClean[[#This Row],[Category]])))</f>
        <v>Food &amp; Drink</v>
      </c>
      <c r="F69" s="10" t="s">
        <v>154</v>
      </c>
      <c r="G69" s="1" t="s">
        <v>8</v>
      </c>
      <c r="H69" s="15">
        <f>MONTH(tblClean[[#This Row],[Date]])</f>
        <v>4</v>
      </c>
      <c r="I69" s="15">
        <f>YEAR(tblClean[[#This Row],[Date]])</f>
        <v>2020</v>
      </c>
    </row>
    <row r="70" spans="1:9" x14ac:dyDescent="0.25">
      <c r="A70" s="7">
        <v>43947</v>
      </c>
      <c r="B70" s="2" t="s">
        <v>151</v>
      </c>
      <c r="C70" s="4" t="str">
        <f>TRIM(CLEAN(PROPER(tblClean[[#This Row],[Transaction Description]])))</f>
        <v>Go Meeting Quickly.</v>
      </c>
      <c r="D70" s="2" t="s">
        <v>16</v>
      </c>
      <c r="E70" s="3" t="str">
        <f>TRIM(CLEAN(PROPER(tblClean[[#This Row],[Category]])))</f>
        <v>Investment</v>
      </c>
      <c r="F70" s="11" t="s">
        <v>152</v>
      </c>
      <c r="G70" s="2" t="s">
        <v>18</v>
      </c>
      <c r="H70" s="15">
        <f>MONTH(tblClean[[#This Row],[Date]])</f>
        <v>4</v>
      </c>
      <c r="I70" s="15">
        <f>YEAR(tblClean[[#This Row],[Date]])</f>
        <v>2020</v>
      </c>
    </row>
    <row r="71" spans="1:9" x14ac:dyDescent="0.25">
      <c r="A71" s="7">
        <v>43948</v>
      </c>
      <c r="B71" s="2" t="s">
        <v>155</v>
      </c>
      <c r="C71" s="4" t="str">
        <f>TRIM(CLEAN(PROPER(tblClean[[#This Row],[Transaction Description]])))</f>
        <v>Board Its.</v>
      </c>
      <c r="D71" s="2" t="s">
        <v>30</v>
      </c>
      <c r="E71" s="3" t="str">
        <f>TRIM(CLEAN(PROPER(tblClean[[#This Row],[Category]])))</f>
        <v>Entertainment</v>
      </c>
      <c r="F71" s="11" t="s">
        <v>156</v>
      </c>
      <c r="G71" s="2" t="s">
        <v>8</v>
      </c>
      <c r="H71" s="15">
        <f>MONTH(tblClean[[#This Row],[Date]])</f>
        <v>4</v>
      </c>
      <c r="I71" s="15">
        <f>YEAR(tblClean[[#This Row],[Date]])</f>
        <v>2020</v>
      </c>
    </row>
    <row r="72" spans="1:9" x14ac:dyDescent="0.25">
      <c r="A72" s="6">
        <v>43948</v>
      </c>
      <c r="B72" s="1" t="s">
        <v>157</v>
      </c>
      <c r="C72" s="3" t="str">
        <f>TRIM(CLEAN(PROPER(tblClean[[#This Row],[Transaction Description]])))</f>
        <v>Paper Memory History Office.</v>
      </c>
      <c r="D72" s="1" t="s">
        <v>30</v>
      </c>
      <c r="E72" s="3" t="str">
        <f>TRIM(CLEAN(PROPER(tblClean[[#This Row],[Category]])))</f>
        <v>Entertainment</v>
      </c>
      <c r="F72" s="10" t="s">
        <v>158</v>
      </c>
      <c r="G72" s="1" t="s">
        <v>8</v>
      </c>
      <c r="H72" s="15">
        <f>MONTH(tblClean[[#This Row],[Date]])</f>
        <v>4</v>
      </c>
      <c r="I72" s="15">
        <f>YEAR(tblClean[[#This Row],[Date]])</f>
        <v>2020</v>
      </c>
    </row>
    <row r="73" spans="1:9" x14ac:dyDescent="0.25">
      <c r="A73" s="7">
        <v>43950</v>
      </c>
      <c r="B73" s="2" t="s">
        <v>159</v>
      </c>
      <c r="C73" s="4" t="str">
        <f>TRIM(CLEAN(PROPER(tblClean[[#This Row],[Transaction Description]])))</f>
        <v>Remember Ability.</v>
      </c>
      <c r="D73" s="2" t="s">
        <v>10</v>
      </c>
      <c r="E73" s="3" t="str">
        <f>TRIM(CLEAN(PROPER(tblClean[[#This Row],[Category]])))</f>
        <v>Utilities</v>
      </c>
      <c r="F73" s="11" t="s">
        <v>160</v>
      </c>
      <c r="G73" s="2" t="s">
        <v>8</v>
      </c>
      <c r="H73" s="15">
        <f>MONTH(tblClean[[#This Row],[Date]])</f>
        <v>4</v>
      </c>
      <c r="I73" s="15">
        <f>YEAR(tblClean[[#This Row],[Date]])</f>
        <v>2020</v>
      </c>
    </row>
    <row r="74" spans="1:9" x14ac:dyDescent="0.25">
      <c r="A74" s="6">
        <v>43951</v>
      </c>
      <c r="B74" s="1" t="s">
        <v>161</v>
      </c>
      <c r="C74" s="3" t="str">
        <f>TRIM(CLEAN(PROPER(tblClean[[#This Row],[Transaction Description]])))</f>
        <v>Hair Attorney Professional.</v>
      </c>
      <c r="D74" s="1" t="s">
        <v>53</v>
      </c>
      <c r="E74" s="3" t="str">
        <f>TRIM(CLEAN(PROPER(tblClean[[#This Row],[Category]])))</f>
        <v>Travel</v>
      </c>
      <c r="F74" s="10" t="s">
        <v>162</v>
      </c>
      <c r="G74" s="1" t="s">
        <v>8</v>
      </c>
      <c r="H74" s="15">
        <f>MONTH(tblClean[[#This Row],[Date]])</f>
        <v>4</v>
      </c>
      <c r="I74" s="15">
        <f>YEAR(tblClean[[#This Row],[Date]])</f>
        <v>2020</v>
      </c>
    </row>
    <row r="75" spans="1:9" x14ac:dyDescent="0.25">
      <c r="A75" s="7">
        <v>43952</v>
      </c>
      <c r="B75" s="2" t="s">
        <v>163</v>
      </c>
      <c r="C75" s="4" t="str">
        <f>TRIM(CLEAN(PROPER(tblClean[[#This Row],[Transaction Description]])))</f>
        <v>Finish Summer Rest Feel Finally.</v>
      </c>
      <c r="D75" s="2" t="s">
        <v>53</v>
      </c>
      <c r="E75" s="3" t="str">
        <f>TRIM(CLEAN(PROPER(tblClean[[#This Row],[Category]])))</f>
        <v>Travel</v>
      </c>
      <c r="F75" s="11" t="s">
        <v>164</v>
      </c>
      <c r="G75" s="2" t="s">
        <v>8</v>
      </c>
      <c r="H75" s="15">
        <f>MONTH(tblClean[[#This Row],[Date]])</f>
        <v>5</v>
      </c>
      <c r="I75" s="15">
        <f>YEAR(tblClean[[#This Row],[Date]])</f>
        <v>2020</v>
      </c>
    </row>
    <row r="76" spans="1:9" x14ac:dyDescent="0.25">
      <c r="A76" s="7">
        <v>43954</v>
      </c>
      <c r="B76" s="2" t="s">
        <v>167</v>
      </c>
      <c r="C76" s="4" t="str">
        <f>TRIM(CLEAN(PROPER(tblClean[[#This Row],[Transaction Description]])))</f>
        <v>Past Feeling Nature.</v>
      </c>
      <c r="D76" s="2" t="s">
        <v>6</v>
      </c>
      <c r="E76" s="3" t="str">
        <f>TRIM(CLEAN(PROPER(tblClean[[#This Row],[Category]])))</f>
        <v>Food &amp; Drink</v>
      </c>
      <c r="F76" s="11" t="s">
        <v>168</v>
      </c>
      <c r="G76" s="2" t="s">
        <v>8</v>
      </c>
      <c r="H76" s="15">
        <f>MONTH(tblClean[[#This Row],[Date]])</f>
        <v>5</v>
      </c>
      <c r="I76" s="15">
        <f>YEAR(tblClean[[#This Row],[Date]])</f>
        <v>2020</v>
      </c>
    </row>
    <row r="77" spans="1:9" x14ac:dyDescent="0.25">
      <c r="A77" s="6">
        <v>43954</v>
      </c>
      <c r="B77" s="1" t="s">
        <v>165</v>
      </c>
      <c r="C77" s="3" t="str">
        <f>TRIM(CLEAN(PROPER(tblClean[[#This Row],[Transaction Description]])))</f>
        <v>I Fast Camera Inside.</v>
      </c>
      <c r="D77" s="1" t="s">
        <v>38</v>
      </c>
      <c r="E77" s="3" t="str">
        <f>TRIM(CLEAN(PROPER(tblClean[[#This Row],[Category]])))</f>
        <v>Salary</v>
      </c>
      <c r="F77" s="10" t="s">
        <v>166</v>
      </c>
      <c r="G77" s="1" t="s">
        <v>8</v>
      </c>
      <c r="H77" s="15">
        <f>MONTH(tblClean[[#This Row],[Date]])</f>
        <v>5</v>
      </c>
      <c r="I77" s="15">
        <f>YEAR(tblClean[[#This Row],[Date]])</f>
        <v>2020</v>
      </c>
    </row>
    <row r="78" spans="1:9" x14ac:dyDescent="0.25">
      <c r="A78" s="6">
        <v>43956</v>
      </c>
      <c r="B78" s="1" t="s">
        <v>169</v>
      </c>
      <c r="C78" s="3" t="str">
        <f>TRIM(CLEAN(PROPER(tblClean[[#This Row],[Transaction Description]])))</f>
        <v>Expert Involve Oil.</v>
      </c>
      <c r="D78" s="1" t="s">
        <v>35</v>
      </c>
      <c r="E78" s="3" t="str">
        <f>TRIM(CLEAN(PROPER(tblClean[[#This Row],[Category]])))</f>
        <v>Health &amp; Fitness</v>
      </c>
      <c r="F78" s="10" t="s">
        <v>170</v>
      </c>
      <c r="G78" s="1" t="s">
        <v>8</v>
      </c>
      <c r="H78" s="15">
        <f>MONTH(tblClean[[#This Row],[Date]])</f>
        <v>5</v>
      </c>
      <c r="I78" s="15">
        <f>YEAR(tblClean[[#This Row],[Date]])</f>
        <v>2020</v>
      </c>
    </row>
    <row r="79" spans="1:9" x14ac:dyDescent="0.25">
      <c r="A79" s="7">
        <v>43957</v>
      </c>
      <c r="B79" s="2" t="s">
        <v>171</v>
      </c>
      <c r="C79" s="4" t="str">
        <f>TRIM(CLEAN(PROPER(tblClean[[#This Row],[Transaction Description]])))</f>
        <v>Kid Put Memory Soldier.</v>
      </c>
      <c r="D79" s="2" t="s">
        <v>10</v>
      </c>
      <c r="E79" s="3" t="str">
        <f>TRIM(CLEAN(PROPER(tblClean[[#This Row],[Category]])))</f>
        <v>Utilities</v>
      </c>
      <c r="F79" s="11" t="s">
        <v>172</v>
      </c>
      <c r="G79" s="2" t="s">
        <v>8</v>
      </c>
      <c r="H79" s="15">
        <f>MONTH(tblClean[[#This Row],[Date]])</f>
        <v>5</v>
      </c>
      <c r="I79" s="15">
        <f>YEAR(tblClean[[#This Row],[Date]])</f>
        <v>2020</v>
      </c>
    </row>
    <row r="80" spans="1:9" x14ac:dyDescent="0.25">
      <c r="A80" s="6">
        <v>43957</v>
      </c>
      <c r="B80" s="1" t="s">
        <v>173</v>
      </c>
      <c r="C80" s="3" t="str">
        <f>TRIM(CLEAN(PROPER(tblClean[[#This Row],[Transaction Description]])))</f>
        <v>Exist Professional.</v>
      </c>
      <c r="D80" s="1" t="s">
        <v>10</v>
      </c>
      <c r="E80" s="3" t="str">
        <f>TRIM(CLEAN(PROPER(tblClean[[#This Row],[Category]])))</f>
        <v>Utilities</v>
      </c>
      <c r="F80" s="10" t="s">
        <v>174</v>
      </c>
      <c r="G80" s="1" t="s">
        <v>8</v>
      </c>
      <c r="H80" s="15">
        <f>MONTH(tblClean[[#This Row],[Date]])</f>
        <v>5</v>
      </c>
      <c r="I80" s="15">
        <f>YEAR(tblClean[[#This Row],[Date]])</f>
        <v>2020</v>
      </c>
    </row>
    <row r="81" spans="1:9" x14ac:dyDescent="0.25">
      <c r="A81" s="7">
        <v>43958</v>
      </c>
      <c r="B81" s="2" t="s">
        <v>175</v>
      </c>
      <c r="C81" s="4" t="str">
        <f>TRIM(CLEAN(PROPER(tblClean[[#This Row],[Transaction Description]])))</f>
        <v>Stand Seem.</v>
      </c>
      <c r="D81" s="2" t="s">
        <v>16</v>
      </c>
      <c r="E81" s="3" t="str">
        <f>TRIM(CLEAN(PROPER(tblClean[[#This Row],[Category]])))</f>
        <v>Investment</v>
      </c>
      <c r="F81" s="11" t="s">
        <v>176</v>
      </c>
      <c r="G81" s="2" t="s">
        <v>18</v>
      </c>
      <c r="H81" s="15">
        <f>MONTH(tblClean[[#This Row],[Date]])</f>
        <v>5</v>
      </c>
      <c r="I81" s="15">
        <f>YEAR(tblClean[[#This Row],[Date]])</f>
        <v>2020</v>
      </c>
    </row>
    <row r="82" spans="1:9" x14ac:dyDescent="0.25">
      <c r="A82" s="6">
        <v>43962</v>
      </c>
      <c r="B82" s="1" t="s">
        <v>177</v>
      </c>
      <c r="C82" s="3" t="str">
        <f>TRIM(CLEAN(PROPER(tblClean[[#This Row],[Transaction Description]])))</f>
        <v>Southern Challenge Animal.</v>
      </c>
      <c r="D82" s="1" t="s">
        <v>16</v>
      </c>
      <c r="E82" s="3" t="str">
        <f>TRIM(CLEAN(PROPER(tblClean[[#This Row],[Category]])))</f>
        <v>Investment</v>
      </c>
      <c r="F82" s="10" t="s">
        <v>178</v>
      </c>
      <c r="G82" s="1" t="s">
        <v>18</v>
      </c>
      <c r="H82" s="15">
        <f>MONTH(tblClean[[#This Row],[Date]])</f>
        <v>5</v>
      </c>
      <c r="I82" s="15">
        <f>YEAR(tblClean[[#This Row],[Date]])</f>
        <v>2020</v>
      </c>
    </row>
    <row r="83" spans="1:9" x14ac:dyDescent="0.25">
      <c r="A83" s="7">
        <v>43963</v>
      </c>
      <c r="B83" s="2" t="s">
        <v>179</v>
      </c>
      <c r="C83" s="4" t="str">
        <f>TRIM(CLEAN(PROPER(tblClean[[#This Row],[Transaction Description]])))</f>
        <v>Sure Authority Increase Picture Create.</v>
      </c>
      <c r="D83" s="2" t="s">
        <v>22</v>
      </c>
      <c r="E83" s="3" t="str">
        <f>TRIM(CLEAN(PROPER(tblClean[[#This Row],[Category]])))</f>
        <v>Shopping</v>
      </c>
      <c r="F83" s="11" t="s">
        <v>180</v>
      </c>
      <c r="G83" s="2" t="s">
        <v>8</v>
      </c>
      <c r="H83" s="15">
        <f>MONTH(tblClean[[#This Row],[Date]])</f>
        <v>5</v>
      </c>
      <c r="I83" s="15">
        <f>YEAR(tblClean[[#This Row],[Date]])</f>
        <v>2020</v>
      </c>
    </row>
    <row r="84" spans="1:9" x14ac:dyDescent="0.25">
      <c r="A84" s="6">
        <v>43964</v>
      </c>
      <c r="B84" s="1" t="s">
        <v>181</v>
      </c>
      <c r="C84" s="3" t="str">
        <f>TRIM(CLEAN(PROPER(tblClean[[#This Row],[Transaction Description]])))</f>
        <v>Hundred Challenge Reach Throughout.</v>
      </c>
      <c r="D84" s="1" t="s">
        <v>35</v>
      </c>
      <c r="E84" s="3" t="str">
        <f>TRIM(CLEAN(PROPER(tblClean[[#This Row],[Category]])))</f>
        <v>Health &amp; Fitness</v>
      </c>
      <c r="F84" s="10" t="s">
        <v>182</v>
      </c>
      <c r="G84" s="1" t="s">
        <v>8</v>
      </c>
      <c r="H84" s="15">
        <f>MONTH(tblClean[[#This Row],[Date]])</f>
        <v>5</v>
      </c>
      <c r="I84" s="15">
        <f>YEAR(tblClean[[#This Row],[Date]])</f>
        <v>2020</v>
      </c>
    </row>
    <row r="85" spans="1:9" x14ac:dyDescent="0.25">
      <c r="A85" s="7">
        <v>43965</v>
      </c>
      <c r="B85" s="2" t="s">
        <v>183</v>
      </c>
      <c r="C85" s="4" t="str">
        <f>TRIM(CLEAN(PROPER(tblClean[[#This Row],[Transaction Description]])))</f>
        <v>Despite Sound Receive Let.</v>
      </c>
      <c r="D85" s="2" t="s">
        <v>35</v>
      </c>
      <c r="E85" s="3" t="str">
        <f>TRIM(CLEAN(PROPER(tblClean[[#This Row],[Category]])))</f>
        <v>Health &amp; Fitness</v>
      </c>
      <c r="F85" s="11" t="s">
        <v>184</v>
      </c>
      <c r="G85" s="2" t="s">
        <v>8</v>
      </c>
      <c r="H85" s="15">
        <f>MONTH(tblClean[[#This Row],[Date]])</f>
        <v>5</v>
      </c>
      <c r="I85" s="15">
        <f>YEAR(tblClean[[#This Row],[Date]])</f>
        <v>2020</v>
      </c>
    </row>
    <row r="86" spans="1:9" x14ac:dyDescent="0.25">
      <c r="A86" s="6">
        <v>43966</v>
      </c>
      <c r="B86" s="1" t="s">
        <v>185</v>
      </c>
      <c r="C86" s="3" t="str">
        <f>TRIM(CLEAN(PROPER(tblClean[[#This Row],[Transaction Description]])))</f>
        <v>True Building Card.</v>
      </c>
      <c r="D86" s="1" t="s">
        <v>53</v>
      </c>
      <c r="E86" s="3" t="str">
        <f>TRIM(CLEAN(PROPER(tblClean[[#This Row],[Category]])))</f>
        <v>Travel</v>
      </c>
      <c r="F86" s="10" t="s">
        <v>186</v>
      </c>
      <c r="G86" s="1" t="s">
        <v>8</v>
      </c>
      <c r="H86" s="15">
        <f>MONTH(tblClean[[#This Row],[Date]])</f>
        <v>5</v>
      </c>
      <c r="I86" s="15">
        <f>YEAR(tblClean[[#This Row],[Date]])</f>
        <v>2020</v>
      </c>
    </row>
    <row r="87" spans="1:9" x14ac:dyDescent="0.25">
      <c r="A87" s="7">
        <v>43967</v>
      </c>
      <c r="B87" s="2" t="s">
        <v>187</v>
      </c>
      <c r="C87" s="4" t="str">
        <f>TRIM(CLEAN(PROPER(tblClean[[#This Row],[Transaction Description]])))</f>
        <v>Write Other Wear Through Partner.</v>
      </c>
      <c r="D87" s="2" t="s">
        <v>13</v>
      </c>
      <c r="E87" s="3" t="str">
        <f>TRIM(CLEAN(PROPER(tblClean[[#This Row],[Category]])))</f>
        <v>Rent</v>
      </c>
      <c r="F87" s="11" t="s">
        <v>188</v>
      </c>
      <c r="G87" s="2" t="s">
        <v>8</v>
      </c>
      <c r="H87" s="15">
        <f>MONTH(tblClean[[#This Row],[Date]])</f>
        <v>5</v>
      </c>
      <c r="I87" s="15">
        <f>YEAR(tblClean[[#This Row],[Date]])</f>
        <v>2020</v>
      </c>
    </row>
    <row r="88" spans="1:9" x14ac:dyDescent="0.25">
      <c r="A88" s="6">
        <v>43968</v>
      </c>
      <c r="B88" s="1" t="s">
        <v>189</v>
      </c>
      <c r="C88" s="3" t="str">
        <f>TRIM(CLEAN(PROPER(tblClean[[#This Row],[Transaction Description]])))</f>
        <v>Store Natural Today Season.</v>
      </c>
      <c r="D88" s="1" t="s">
        <v>13</v>
      </c>
      <c r="E88" s="3" t="str">
        <f>TRIM(CLEAN(PROPER(tblClean[[#This Row],[Category]])))</f>
        <v>Rent</v>
      </c>
      <c r="F88" s="10" t="s">
        <v>190</v>
      </c>
      <c r="G88" s="1" t="s">
        <v>8</v>
      </c>
      <c r="H88" s="15">
        <f>MONTH(tblClean[[#This Row],[Date]])</f>
        <v>5</v>
      </c>
      <c r="I88" s="15">
        <f>YEAR(tblClean[[#This Row],[Date]])</f>
        <v>2020</v>
      </c>
    </row>
    <row r="89" spans="1:9" x14ac:dyDescent="0.25">
      <c r="A89" s="7">
        <v>43970</v>
      </c>
      <c r="B89" s="2" t="s">
        <v>191</v>
      </c>
      <c r="C89" s="4" t="str">
        <f>TRIM(CLEAN(PROPER(tblClean[[#This Row],[Transaction Description]])))</f>
        <v>Else Easy Point She.</v>
      </c>
      <c r="D89" s="2" t="s">
        <v>53</v>
      </c>
      <c r="E89" s="3" t="str">
        <f>TRIM(CLEAN(PROPER(tblClean[[#This Row],[Category]])))</f>
        <v>Travel</v>
      </c>
      <c r="F89" s="11" t="s">
        <v>192</v>
      </c>
      <c r="G89" s="2" t="s">
        <v>8</v>
      </c>
      <c r="H89" s="15">
        <f>MONTH(tblClean[[#This Row],[Date]])</f>
        <v>5</v>
      </c>
      <c r="I89" s="15">
        <f>YEAR(tblClean[[#This Row],[Date]])</f>
        <v>2020</v>
      </c>
    </row>
    <row r="90" spans="1:9" x14ac:dyDescent="0.25">
      <c r="A90" s="6">
        <v>43971</v>
      </c>
      <c r="B90" s="1" t="s">
        <v>193</v>
      </c>
      <c r="C90" s="3" t="str">
        <f>TRIM(CLEAN(PROPER(tblClean[[#This Row],[Transaction Description]])))</f>
        <v>Phone Ever Back Experience.</v>
      </c>
      <c r="D90" s="1" t="s">
        <v>13</v>
      </c>
      <c r="E90" s="3" t="str">
        <f>TRIM(CLEAN(PROPER(tblClean[[#This Row],[Category]])))</f>
        <v>Rent</v>
      </c>
      <c r="F90" s="10" t="s">
        <v>194</v>
      </c>
      <c r="G90" s="1" t="s">
        <v>8</v>
      </c>
      <c r="H90" s="15">
        <f>MONTH(tblClean[[#This Row],[Date]])</f>
        <v>5</v>
      </c>
      <c r="I90" s="15">
        <f>YEAR(tblClean[[#This Row],[Date]])</f>
        <v>2020</v>
      </c>
    </row>
    <row r="91" spans="1:9" x14ac:dyDescent="0.25">
      <c r="A91" s="7">
        <v>43972</v>
      </c>
      <c r="B91" s="2" t="s">
        <v>195</v>
      </c>
      <c r="C91" s="4" t="str">
        <f>TRIM(CLEAN(PROPER(tblClean[[#This Row],[Transaction Description]])))</f>
        <v>Floor Music Catch Discuss.</v>
      </c>
      <c r="D91" s="2" t="s">
        <v>10</v>
      </c>
      <c r="E91" s="3" t="str">
        <f>TRIM(CLEAN(PROPER(tblClean[[#This Row],[Category]])))</f>
        <v>Utilities</v>
      </c>
      <c r="F91" s="11" t="s">
        <v>196</v>
      </c>
      <c r="G91" s="2" t="s">
        <v>8</v>
      </c>
      <c r="H91" s="15">
        <f>MONTH(tblClean[[#This Row],[Date]])</f>
        <v>5</v>
      </c>
      <c r="I91" s="15">
        <f>YEAR(tblClean[[#This Row],[Date]])</f>
        <v>2020</v>
      </c>
    </row>
    <row r="92" spans="1:9" x14ac:dyDescent="0.25">
      <c r="A92" s="6">
        <v>43976</v>
      </c>
      <c r="B92" s="1" t="s">
        <v>197</v>
      </c>
      <c r="C92" s="3" t="str">
        <f>TRIM(CLEAN(PROPER(tblClean[[#This Row],[Transaction Description]])))</f>
        <v>Ask Imagine My.</v>
      </c>
      <c r="D92" s="1" t="s">
        <v>53</v>
      </c>
      <c r="E92" s="3" t="str">
        <f>TRIM(CLEAN(PROPER(tblClean[[#This Row],[Category]])))</f>
        <v>Travel</v>
      </c>
      <c r="F92" s="10" t="s">
        <v>198</v>
      </c>
      <c r="G92" s="1" t="s">
        <v>8</v>
      </c>
      <c r="H92" s="15">
        <f>MONTH(tblClean[[#This Row],[Date]])</f>
        <v>5</v>
      </c>
      <c r="I92" s="15">
        <f>YEAR(tblClean[[#This Row],[Date]])</f>
        <v>2020</v>
      </c>
    </row>
    <row r="93" spans="1:9" x14ac:dyDescent="0.25">
      <c r="A93" s="7">
        <v>43978</v>
      </c>
      <c r="B93" s="2" t="s">
        <v>199</v>
      </c>
      <c r="C93" s="4" t="str">
        <f>TRIM(CLEAN(PROPER(tblClean[[#This Row],[Transaction Description]])))</f>
        <v>Deal Information.</v>
      </c>
      <c r="D93" s="2" t="s">
        <v>6</v>
      </c>
      <c r="E93" s="3" t="str">
        <f>TRIM(CLEAN(PROPER(tblClean[[#This Row],[Category]])))</f>
        <v>Food &amp; Drink</v>
      </c>
      <c r="F93" s="11" t="s">
        <v>200</v>
      </c>
      <c r="G93" s="2" t="s">
        <v>8</v>
      </c>
      <c r="H93" s="15">
        <f>MONTH(tblClean[[#This Row],[Date]])</f>
        <v>5</v>
      </c>
      <c r="I93" s="15">
        <f>YEAR(tblClean[[#This Row],[Date]])</f>
        <v>2020</v>
      </c>
    </row>
    <row r="94" spans="1:9" x14ac:dyDescent="0.25">
      <c r="A94" s="6">
        <v>43979</v>
      </c>
      <c r="B94" s="1" t="s">
        <v>201</v>
      </c>
      <c r="C94" s="3" t="str">
        <f>TRIM(CLEAN(PROPER(tblClean[[#This Row],[Transaction Description]])))</f>
        <v>Task She.</v>
      </c>
      <c r="D94" s="1" t="s">
        <v>13</v>
      </c>
      <c r="E94" s="3" t="str">
        <f>TRIM(CLEAN(PROPER(tblClean[[#This Row],[Category]])))</f>
        <v>Rent</v>
      </c>
      <c r="F94" s="10" t="s">
        <v>202</v>
      </c>
      <c r="G94" s="1" t="s">
        <v>8</v>
      </c>
      <c r="H94" s="15">
        <f>MONTH(tblClean[[#This Row],[Date]])</f>
        <v>5</v>
      </c>
      <c r="I94" s="15">
        <f>YEAR(tblClean[[#This Row],[Date]])</f>
        <v>2020</v>
      </c>
    </row>
    <row r="95" spans="1:9" x14ac:dyDescent="0.25">
      <c r="A95" s="7">
        <v>43980</v>
      </c>
      <c r="B95" s="2" t="s">
        <v>203</v>
      </c>
      <c r="C95" s="4" t="str">
        <f>TRIM(CLEAN(PROPER(tblClean[[#This Row],[Transaction Description]])))</f>
        <v>Accept Goal Send Table.</v>
      </c>
      <c r="D95" s="2" t="s">
        <v>16</v>
      </c>
      <c r="E95" s="3" t="str">
        <f>TRIM(CLEAN(PROPER(tblClean[[#This Row],[Category]])))</f>
        <v>Investment</v>
      </c>
      <c r="F95" s="11" t="s">
        <v>204</v>
      </c>
      <c r="G95" s="2" t="s">
        <v>18</v>
      </c>
      <c r="H95" s="15">
        <f>MONTH(tblClean[[#This Row],[Date]])</f>
        <v>5</v>
      </c>
      <c r="I95" s="15">
        <f>YEAR(tblClean[[#This Row],[Date]])</f>
        <v>2020</v>
      </c>
    </row>
    <row r="96" spans="1:9" x14ac:dyDescent="0.25">
      <c r="A96" s="6">
        <v>43981</v>
      </c>
      <c r="B96" s="1" t="s">
        <v>205</v>
      </c>
      <c r="C96" s="3" t="str">
        <f>TRIM(CLEAN(PROPER(tblClean[[#This Row],[Transaction Description]])))</f>
        <v>Section National Owner Determine Detail.</v>
      </c>
      <c r="D96" s="1" t="s">
        <v>10</v>
      </c>
      <c r="E96" s="3" t="str">
        <f>TRIM(CLEAN(PROPER(tblClean[[#This Row],[Category]])))</f>
        <v>Utilities</v>
      </c>
      <c r="F96" s="10" t="s">
        <v>206</v>
      </c>
      <c r="G96" s="1" t="s">
        <v>8</v>
      </c>
      <c r="H96" s="15">
        <f>MONTH(tblClean[[#This Row],[Date]])</f>
        <v>5</v>
      </c>
      <c r="I96" s="15">
        <f>YEAR(tblClean[[#This Row],[Date]])</f>
        <v>2020</v>
      </c>
    </row>
    <row r="97" spans="1:9" x14ac:dyDescent="0.25">
      <c r="A97" s="7">
        <v>43982</v>
      </c>
      <c r="B97" s="2" t="s">
        <v>207</v>
      </c>
      <c r="C97" s="4" t="str">
        <f>TRIM(CLEAN(PROPER(tblClean[[#This Row],[Transaction Description]])))</f>
        <v>Ahead From Quickly Identify.</v>
      </c>
      <c r="D97" s="2" t="s">
        <v>35</v>
      </c>
      <c r="E97" s="3" t="str">
        <f>TRIM(CLEAN(PROPER(tblClean[[#This Row],[Category]])))</f>
        <v>Health &amp; Fitness</v>
      </c>
      <c r="F97" s="11" t="s">
        <v>208</v>
      </c>
      <c r="G97" s="2" t="s">
        <v>8</v>
      </c>
      <c r="H97" s="15">
        <f>MONTH(tblClean[[#This Row],[Date]])</f>
        <v>5</v>
      </c>
      <c r="I97" s="15">
        <f>YEAR(tblClean[[#This Row],[Date]])</f>
        <v>2020</v>
      </c>
    </row>
    <row r="98" spans="1:9" x14ac:dyDescent="0.25">
      <c r="A98" s="6">
        <v>43982</v>
      </c>
      <c r="B98" s="1" t="s">
        <v>209</v>
      </c>
      <c r="C98" s="3" t="str">
        <f>TRIM(CLEAN(PROPER(tblClean[[#This Row],[Transaction Description]])))</f>
        <v>Try Wonder Move Trade.</v>
      </c>
      <c r="D98" s="1" t="s">
        <v>53</v>
      </c>
      <c r="E98" s="3" t="str">
        <f>TRIM(CLEAN(PROPER(tblClean[[#This Row],[Category]])))</f>
        <v>Travel</v>
      </c>
      <c r="F98" s="10" t="s">
        <v>210</v>
      </c>
      <c r="G98" s="1" t="s">
        <v>8</v>
      </c>
      <c r="H98" s="15">
        <f>MONTH(tblClean[[#This Row],[Date]])</f>
        <v>5</v>
      </c>
      <c r="I98" s="15">
        <f>YEAR(tblClean[[#This Row],[Date]])</f>
        <v>2020</v>
      </c>
    </row>
    <row r="99" spans="1:9" x14ac:dyDescent="0.25">
      <c r="A99" s="7">
        <v>43983</v>
      </c>
      <c r="B99" s="2" t="s">
        <v>211</v>
      </c>
      <c r="C99" s="4" t="str">
        <f>TRIM(CLEAN(PROPER(tblClean[[#This Row],[Transaction Description]])))</f>
        <v>Base Investment.</v>
      </c>
      <c r="D99" s="2" t="s">
        <v>6</v>
      </c>
      <c r="E99" s="3" t="str">
        <f>TRIM(CLEAN(PROPER(tblClean[[#This Row],[Category]])))</f>
        <v>Food &amp; Drink</v>
      </c>
      <c r="F99" s="11" t="s">
        <v>212</v>
      </c>
      <c r="G99" s="2" t="s">
        <v>8</v>
      </c>
      <c r="H99" s="15">
        <f>MONTH(tblClean[[#This Row],[Date]])</f>
        <v>6</v>
      </c>
      <c r="I99" s="15">
        <f>YEAR(tblClean[[#This Row],[Date]])</f>
        <v>2020</v>
      </c>
    </row>
    <row r="100" spans="1:9" x14ac:dyDescent="0.25">
      <c r="A100" s="6">
        <v>43984</v>
      </c>
      <c r="B100" s="1" t="s">
        <v>213</v>
      </c>
      <c r="C100" s="3" t="str">
        <f>TRIM(CLEAN(PROPER(tblClean[[#This Row],[Transaction Description]])))</f>
        <v>Anyone Here Deep.</v>
      </c>
      <c r="D100" s="1" t="s">
        <v>53</v>
      </c>
      <c r="E100" s="3" t="str">
        <f>TRIM(CLEAN(PROPER(tblClean[[#This Row],[Category]])))</f>
        <v>Travel</v>
      </c>
      <c r="F100" s="10" t="s">
        <v>214</v>
      </c>
      <c r="G100" s="1" t="s">
        <v>8</v>
      </c>
      <c r="H100" s="15">
        <f>MONTH(tblClean[[#This Row],[Date]])</f>
        <v>6</v>
      </c>
      <c r="I100" s="15">
        <f>YEAR(tblClean[[#This Row],[Date]])</f>
        <v>2020</v>
      </c>
    </row>
    <row r="101" spans="1:9" x14ac:dyDescent="0.25">
      <c r="A101" s="7">
        <v>43987</v>
      </c>
      <c r="B101" s="2" t="s">
        <v>215</v>
      </c>
      <c r="C101" s="4" t="str">
        <f>TRIM(CLEAN(PROPER(tblClean[[#This Row],[Transaction Description]])))</f>
        <v>Seven Here Sell Story.</v>
      </c>
      <c r="D101" s="2" t="s">
        <v>10</v>
      </c>
      <c r="E101" s="3" t="str">
        <f>TRIM(CLEAN(PROPER(tblClean[[#This Row],[Category]])))</f>
        <v>Utilities</v>
      </c>
      <c r="F101" s="11" t="s">
        <v>216</v>
      </c>
      <c r="G101" s="2" t="s">
        <v>8</v>
      </c>
      <c r="H101" s="15">
        <f>MONTH(tblClean[[#This Row],[Date]])</f>
        <v>6</v>
      </c>
      <c r="I101" s="15">
        <f>YEAR(tblClean[[#This Row],[Date]])</f>
        <v>2020</v>
      </c>
    </row>
    <row r="102" spans="1:9" x14ac:dyDescent="0.25">
      <c r="A102" s="6">
        <v>43988</v>
      </c>
      <c r="B102" s="1" t="s">
        <v>217</v>
      </c>
      <c r="C102" s="3" t="str">
        <f>TRIM(CLEAN(PROPER(tblClean[[#This Row],[Transaction Description]])))</f>
        <v>Like See.</v>
      </c>
      <c r="D102" s="1" t="s">
        <v>38</v>
      </c>
      <c r="E102" s="3" t="str">
        <f>TRIM(CLEAN(PROPER(tblClean[[#This Row],[Category]])))</f>
        <v>Salary</v>
      </c>
      <c r="F102" s="10" t="s">
        <v>218</v>
      </c>
      <c r="G102" s="1" t="s">
        <v>8</v>
      </c>
      <c r="H102" s="15">
        <f>MONTH(tblClean[[#This Row],[Date]])</f>
        <v>6</v>
      </c>
      <c r="I102" s="15">
        <f>YEAR(tblClean[[#This Row],[Date]])</f>
        <v>2020</v>
      </c>
    </row>
    <row r="103" spans="1:9" x14ac:dyDescent="0.25">
      <c r="A103" s="7">
        <v>43989</v>
      </c>
      <c r="B103" s="2" t="s">
        <v>219</v>
      </c>
      <c r="C103" s="4" t="str">
        <f>TRIM(CLEAN(PROPER(tblClean[[#This Row],[Transaction Description]])))</f>
        <v>Difference Attention Whatever American.</v>
      </c>
      <c r="D103" s="2" t="s">
        <v>6</v>
      </c>
      <c r="E103" s="3" t="str">
        <f>TRIM(CLEAN(PROPER(tblClean[[#This Row],[Category]])))</f>
        <v>Food &amp; Drink</v>
      </c>
      <c r="F103" s="11" t="s">
        <v>220</v>
      </c>
      <c r="G103" s="2" t="s">
        <v>8</v>
      </c>
      <c r="H103" s="15">
        <f>MONTH(tblClean[[#This Row],[Date]])</f>
        <v>6</v>
      </c>
      <c r="I103" s="15">
        <f>YEAR(tblClean[[#This Row],[Date]])</f>
        <v>2020</v>
      </c>
    </row>
    <row r="104" spans="1:9" x14ac:dyDescent="0.25">
      <c r="A104" s="6">
        <v>43990</v>
      </c>
      <c r="B104" s="1" t="s">
        <v>221</v>
      </c>
      <c r="C104" s="3" t="str">
        <f>TRIM(CLEAN(PROPER(tblClean[[#This Row],[Transaction Description]])))</f>
        <v>Current After Charge.</v>
      </c>
      <c r="D104" s="1" t="s">
        <v>10</v>
      </c>
      <c r="E104" s="3" t="str">
        <f>TRIM(CLEAN(PROPER(tblClean[[#This Row],[Category]])))</f>
        <v>Utilities</v>
      </c>
      <c r="F104" s="10" t="s">
        <v>222</v>
      </c>
      <c r="G104" s="1" t="s">
        <v>8</v>
      </c>
      <c r="H104" s="15">
        <f>MONTH(tblClean[[#This Row],[Date]])</f>
        <v>6</v>
      </c>
      <c r="I104" s="15">
        <f>YEAR(tblClean[[#This Row],[Date]])</f>
        <v>2020</v>
      </c>
    </row>
    <row r="105" spans="1:9" x14ac:dyDescent="0.25">
      <c r="A105" s="6">
        <v>43991</v>
      </c>
      <c r="B105" s="1" t="s">
        <v>225</v>
      </c>
      <c r="C105" s="3" t="str">
        <f>TRIM(CLEAN(PROPER(tblClean[[#This Row],[Transaction Description]])))</f>
        <v>Paper White Responsibility.</v>
      </c>
      <c r="D105" s="1" t="s">
        <v>27</v>
      </c>
      <c r="E105" s="3" t="str">
        <f>TRIM(CLEAN(PROPER(tblClean[[#This Row],[Category]])))</f>
        <v>Other</v>
      </c>
      <c r="F105" s="10" t="s">
        <v>226</v>
      </c>
      <c r="G105" s="1" t="s">
        <v>18</v>
      </c>
      <c r="H105" s="15">
        <f>MONTH(tblClean[[#This Row],[Date]])</f>
        <v>6</v>
      </c>
      <c r="I105" s="15">
        <f>YEAR(tblClean[[#This Row],[Date]])</f>
        <v>2020</v>
      </c>
    </row>
    <row r="106" spans="1:9" x14ac:dyDescent="0.25">
      <c r="A106" s="7">
        <v>43991</v>
      </c>
      <c r="B106" s="2" t="s">
        <v>223</v>
      </c>
      <c r="C106" s="4" t="str">
        <f>TRIM(CLEAN(PROPER(tblClean[[#This Row],[Transaction Description]])))</f>
        <v>Prove Nor Design Record.</v>
      </c>
      <c r="D106" s="2" t="s">
        <v>10</v>
      </c>
      <c r="E106" s="3" t="str">
        <f>TRIM(CLEAN(PROPER(tblClean[[#This Row],[Category]])))</f>
        <v>Utilities</v>
      </c>
      <c r="F106" s="11" t="s">
        <v>224</v>
      </c>
      <c r="G106" s="2" t="s">
        <v>8</v>
      </c>
      <c r="H106" s="15">
        <f>MONTH(tblClean[[#This Row],[Date]])</f>
        <v>6</v>
      </c>
      <c r="I106" s="15">
        <f>YEAR(tblClean[[#This Row],[Date]])</f>
        <v>2020</v>
      </c>
    </row>
    <row r="107" spans="1:9" x14ac:dyDescent="0.25">
      <c r="A107" s="7">
        <v>43992</v>
      </c>
      <c r="B107" s="2" t="s">
        <v>227</v>
      </c>
      <c r="C107" s="4" t="str">
        <f>TRIM(CLEAN(PROPER(tblClean[[#This Row],[Transaction Description]])))</f>
        <v>Blue Agent Find.</v>
      </c>
      <c r="D107" s="2" t="s">
        <v>30</v>
      </c>
      <c r="E107" s="3" t="str">
        <f>TRIM(CLEAN(PROPER(tblClean[[#This Row],[Category]])))</f>
        <v>Entertainment</v>
      </c>
      <c r="F107" s="11" t="s">
        <v>228</v>
      </c>
      <c r="G107" s="2" t="s">
        <v>8</v>
      </c>
      <c r="H107" s="15">
        <f>MONTH(tblClean[[#This Row],[Date]])</f>
        <v>6</v>
      </c>
      <c r="I107" s="15">
        <f>YEAR(tblClean[[#This Row],[Date]])</f>
        <v>2020</v>
      </c>
    </row>
    <row r="108" spans="1:9" x14ac:dyDescent="0.25">
      <c r="A108" s="6">
        <v>43992</v>
      </c>
      <c r="B108" s="1" t="s">
        <v>229</v>
      </c>
      <c r="C108" s="3" t="str">
        <f>TRIM(CLEAN(PROPER(tblClean[[#This Row],[Transaction Description]])))</f>
        <v>Walk Cup Option Store.</v>
      </c>
      <c r="D108" s="1" t="s">
        <v>35</v>
      </c>
      <c r="E108" s="3" t="str">
        <f>TRIM(CLEAN(PROPER(tblClean[[#This Row],[Category]])))</f>
        <v>Health &amp; Fitness</v>
      </c>
      <c r="F108" s="10" t="s">
        <v>230</v>
      </c>
      <c r="G108" s="1" t="s">
        <v>8</v>
      </c>
      <c r="H108" s="15">
        <f>MONTH(tblClean[[#This Row],[Date]])</f>
        <v>6</v>
      </c>
      <c r="I108" s="15">
        <f>YEAR(tblClean[[#This Row],[Date]])</f>
        <v>2020</v>
      </c>
    </row>
    <row r="109" spans="1:9" x14ac:dyDescent="0.25">
      <c r="A109" s="6">
        <v>43993</v>
      </c>
      <c r="B109" s="1" t="s">
        <v>233</v>
      </c>
      <c r="C109" s="3" t="str">
        <f>TRIM(CLEAN(PROPER(tblClean[[#This Row],[Transaction Description]])))</f>
        <v>Site Girl Into Have Media.</v>
      </c>
      <c r="D109" s="1" t="s">
        <v>30</v>
      </c>
      <c r="E109" s="3" t="str">
        <f>TRIM(CLEAN(PROPER(tblClean[[#This Row],[Category]])))</f>
        <v>Entertainment</v>
      </c>
      <c r="F109" s="10" t="s">
        <v>234</v>
      </c>
      <c r="G109" s="1" t="s">
        <v>8</v>
      </c>
      <c r="H109" s="15">
        <f>MONTH(tblClean[[#This Row],[Date]])</f>
        <v>6</v>
      </c>
      <c r="I109" s="15">
        <f>YEAR(tblClean[[#This Row],[Date]])</f>
        <v>2020</v>
      </c>
    </row>
    <row r="110" spans="1:9" x14ac:dyDescent="0.25">
      <c r="A110" s="7">
        <v>43993</v>
      </c>
      <c r="B110" s="2" t="s">
        <v>231</v>
      </c>
      <c r="C110" s="4" t="str">
        <f>TRIM(CLEAN(PROPER(tblClean[[#This Row],[Transaction Description]])))</f>
        <v>Recent Feeling.</v>
      </c>
      <c r="D110" s="2" t="s">
        <v>22</v>
      </c>
      <c r="E110" s="3" t="str">
        <f>TRIM(CLEAN(PROPER(tblClean[[#This Row],[Category]])))</f>
        <v>Shopping</v>
      </c>
      <c r="F110" s="11" t="s">
        <v>232</v>
      </c>
      <c r="G110" s="2" t="s">
        <v>8</v>
      </c>
      <c r="H110" s="15">
        <f>MONTH(tblClean[[#This Row],[Date]])</f>
        <v>6</v>
      </c>
      <c r="I110" s="15">
        <f>YEAR(tblClean[[#This Row],[Date]])</f>
        <v>2020</v>
      </c>
    </row>
    <row r="111" spans="1:9" x14ac:dyDescent="0.25">
      <c r="A111" s="7">
        <v>43994</v>
      </c>
      <c r="B111" s="2" t="s">
        <v>235</v>
      </c>
      <c r="C111" s="4" t="str">
        <f>TRIM(CLEAN(PROPER(tblClean[[#This Row],[Transaction Description]])))</f>
        <v>Support State.</v>
      </c>
      <c r="D111" s="2" t="s">
        <v>10</v>
      </c>
      <c r="E111" s="3" t="str">
        <f>TRIM(CLEAN(PROPER(tblClean[[#This Row],[Category]])))</f>
        <v>Utilities</v>
      </c>
      <c r="F111" s="11" t="s">
        <v>236</v>
      </c>
      <c r="G111" s="2" t="s">
        <v>8</v>
      </c>
      <c r="H111" s="15">
        <f>MONTH(tblClean[[#This Row],[Date]])</f>
        <v>6</v>
      </c>
      <c r="I111" s="15">
        <f>YEAR(tblClean[[#This Row],[Date]])</f>
        <v>2020</v>
      </c>
    </row>
    <row r="112" spans="1:9" x14ac:dyDescent="0.25">
      <c r="A112" s="6">
        <v>43996</v>
      </c>
      <c r="B112" s="1" t="s">
        <v>237</v>
      </c>
      <c r="C112" s="3" t="str">
        <f>TRIM(CLEAN(PROPER(tblClean[[#This Row],[Transaction Description]])))</f>
        <v>Whether Player Stock Religious.</v>
      </c>
      <c r="D112" s="1" t="s">
        <v>27</v>
      </c>
      <c r="E112" s="3" t="str">
        <f>TRIM(CLEAN(PROPER(tblClean[[#This Row],[Category]])))</f>
        <v>Other</v>
      </c>
      <c r="F112" s="10" t="s">
        <v>238</v>
      </c>
      <c r="G112" s="1" t="s">
        <v>18</v>
      </c>
      <c r="H112" s="15">
        <f>MONTH(tblClean[[#This Row],[Date]])</f>
        <v>6</v>
      </c>
      <c r="I112" s="15">
        <f>YEAR(tblClean[[#This Row],[Date]])</f>
        <v>2020</v>
      </c>
    </row>
    <row r="113" spans="1:9" x14ac:dyDescent="0.25">
      <c r="A113" s="7">
        <v>43997</v>
      </c>
      <c r="B113" s="2" t="s">
        <v>239</v>
      </c>
      <c r="C113" s="4" t="str">
        <f>TRIM(CLEAN(PROPER(tblClean[[#This Row],[Transaction Description]])))</f>
        <v>Safe Whole Establish.</v>
      </c>
      <c r="D113" s="2" t="s">
        <v>30</v>
      </c>
      <c r="E113" s="3" t="str">
        <f>TRIM(CLEAN(PROPER(tblClean[[#This Row],[Category]])))</f>
        <v>Entertainment</v>
      </c>
      <c r="F113" s="11" t="s">
        <v>240</v>
      </c>
      <c r="G113" s="2" t="s">
        <v>8</v>
      </c>
      <c r="H113" s="15">
        <f>MONTH(tblClean[[#This Row],[Date]])</f>
        <v>6</v>
      </c>
      <c r="I113" s="15">
        <f>YEAR(tblClean[[#This Row],[Date]])</f>
        <v>2020</v>
      </c>
    </row>
    <row r="114" spans="1:9" x14ac:dyDescent="0.25">
      <c r="A114" s="7">
        <v>44000</v>
      </c>
      <c r="B114" s="2" t="s">
        <v>243</v>
      </c>
      <c r="C114" s="4" t="str">
        <f>TRIM(CLEAN(PROPER(tblClean[[#This Row],[Transaction Description]])))</f>
        <v>Everything Late.</v>
      </c>
      <c r="D114" s="2" t="s">
        <v>27</v>
      </c>
      <c r="E114" s="3" t="str">
        <f>TRIM(CLEAN(PROPER(tblClean[[#This Row],[Category]])))</f>
        <v>Other</v>
      </c>
      <c r="F114" s="11" t="s">
        <v>244</v>
      </c>
      <c r="G114" s="2" t="s">
        <v>18</v>
      </c>
      <c r="H114" s="15">
        <f>MONTH(tblClean[[#This Row],[Date]])</f>
        <v>6</v>
      </c>
      <c r="I114" s="15">
        <f>YEAR(tblClean[[#This Row],[Date]])</f>
        <v>2020</v>
      </c>
    </row>
    <row r="115" spans="1:9" x14ac:dyDescent="0.25">
      <c r="A115" s="6">
        <v>44000</v>
      </c>
      <c r="B115" s="1" t="s">
        <v>245</v>
      </c>
      <c r="C115" s="3" t="str">
        <f>TRIM(CLEAN(PROPER(tblClean[[#This Row],[Transaction Description]])))</f>
        <v>Particular Her Agreement Surface Consider.</v>
      </c>
      <c r="D115" s="1" t="s">
        <v>27</v>
      </c>
      <c r="E115" s="3" t="str">
        <f>TRIM(CLEAN(PROPER(tblClean[[#This Row],[Category]])))</f>
        <v>Other</v>
      </c>
      <c r="F115" s="10" t="s">
        <v>246</v>
      </c>
      <c r="G115" s="1" t="s">
        <v>18</v>
      </c>
      <c r="H115" s="15">
        <f>MONTH(tblClean[[#This Row],[Date]])</f>
        <v>6</v>
      </c>
      <c r="I115" s="15">
        <f>YEAR(tblClean[[#This Row],[Date]])</f>
        <v>2020</v>
      </c>
    </row>
    <row r="116" spans="1:9" x14ac:dyDescent="0.25">
      <c r="A116" s="6">
        <v>44000</v>
      </c>
      <c r="B116" s="1" t="s">
        <v>241</v>
      </c>
      <c r="C116" s="3" t="str">
        <f>TRIM(CLEAN(PROPER(tblClean[[#This Row],[Transaction Description]])))</f>
        <v>Let Stay Or Focus.</v>
      </c>
      <c r="D116" s="1" t="s">
        <v>13</v>
      </c>
      <c r="E116" s="3" t="str">
        <f>TRIM(CLEAN(PROPER(tblClean[[#This Row],[Category]])))</f>
        <v>Rent</v>
      </c>
      <c r="F116" s="10" t="s">
        <v>242</v>
      </c>
      <c r="G116" s="1" t="s">
        <v>8</v>
      </c>
      <c r="H116" s="15">
        <f>MONTH(tblClean[[#This Row],[Date]])</f>
        <v>6</v>
      </c>
      <c r="I116" s="15">
        <f>YEAR(tblClean[[#This Row],[Date]])</f>
        <v>2020</v>
      </c>
    </row>
    <row r="117" spans="1:9" x14ac:dyDescent="0.25">
      <c r="A117" s="7">
        <v>44001</v>
      </c>
      <c r="B117" s="2" t="s">
        <v>247</v>
      </c>
      <c r="C117" s="4" t="str">
        <f>TRIM(CLEAN(PROPER(tblClean[[#This Row],[Transaction Description]])))</f>
        <v>Something Future They Red.</v>
      </c>
      <c r="D117" s="2" t="s">
        <v>30</v>
      </c>
      <c r="E117" s="3" t="str">
        <f>TRIM(CLEAN(PROPER(tblClean[[#This Row],[Category]])))</f>
        <v>Entertainment</v>
      </c>
      <c r="F117" s="11" t="s">
        <v>248</v>
      </c>
      <c r="G117" s="2" t="s">
        <v>8</v>
      </c>
      <c r="H117" s="15">
        <f>MONTH(tblClean[[#This Row],[Date]])</f>
        <v>6</v>
      </c>
      <c r="I117" s="15">
        <f>YEAR(tblClean[[#This Row],[Date]])</f>
        <v>2020</v>
      </c>
    </row>
    <row r="118" spans="1:9" x14ac:dyDescent="0.25">
      <c r="A118" s="6">
        <v>44001</v>
      </c>
      <c r="B118" s="1" t="s">
        <v>249</v>
      </c>
      <c r="C118" s="3" t="str">
        <f>TRIM(CLEAN(PROPER(tblClean[[#This Row],[Transaction Description]])))</f>
        <v>Act Way Beat Result Major.</v>
      </c>
      <c r="D118" s="1" t="s">
        <v>22</v>
      </c>
      <c r="E118" s="3" t="str">
        <f>TRIM(CLEAN(PROPER(tblClean[[#This Row],[Category]])))</f>
        <v>Shopping</v>
      </c>
      <c r="F118" s="10" t="s">
        <v>250</v>
      </c>
      <c r="G118" s="1" t="s">
        <v>8</v>
      </c>
      <c r="H118" s="15">
        <f>MONTH(tblClean[[#This Row],[Date]])</f>
        <v>6</v>
      </c>
      <c r="I118" s="15">
        <f>YEAR(tblClean[[#This Row],[Date]])</f>
        <v>2020</v>
      </c>
    </row>
    <row r="119" spans="1:9" x14ac:dyDescent="0.25">
      <c r="A119" s="6">
        <v>44003</v>
      </c>
      <c r="B119" s="1" t="s">
        <v>253</v>
      </c>
      <c r="C119" s="3" t="str">
        <f>TRIM(CLEAN(PROPER(tblClean[[#This Row],[Transaction Description]])))</f>
        <v>Reality Fill Ok List.</v>
      </c>
      <c r="D119" s="1" t="s">
        <v>35</v>
      </c>
      <c r="E119" s="3" t="str">
        <f>TRIM(CLEAN(PROPER(tblClean[[#This Row],[Category]])))</f>
        <v>Health &amp; Fitness</v>
      </c>
      <c r="F119" s="10" t="s">
        <v>254</v>
      </c>
      <c r="G119" s="1" t="s">
        <v>8</v>
      </c>
      <c r="H119" s="15">
        <f>MONTH(tblClean[[#This Row],[Date]])</f>
        <v>6</v>
      </c>
      <c r="I119" s="15">
        <f>YEAR(tblClean[[#This Row],[Date]])</f>
        <v>2020</v>
      </c>
    </row>
    <row r="120" spans="1:9" x14ac:dyDescent="0.25">
      <c r="A120" s="7">
        <v>44003</v>
      </c>
      <c r="B120" s="2" t="s">
        <v>251</v>
      </c>
      <c r="C120" s="4" t="str">
        <f>TRIM(CLEAN(PROPER(tblClean[[#This Row],[Transaction Description]])))</f>
        <v>Position Make Society Behavior.</v>
      </c>
      <c r="D120" s="2" t="s">
        <v>53</v>
      </c>
      <c r="E120" s="3" t="str">
        <f>TRIM(CLEAN(PROPER(tblClean[[#This Row],[Category]])))</f>
        <v>Travel</v>
      </c>
      <c r="F120" s="11" t="s">
        <v>252</v>
      </c>
      <c r="G120" s="2" t="s">
        <v>8</v>
      </c>
      <c r="H120" s="15">
        <f>MONTH(tblClean[[#This Row],[Date]])</f>
        <v>6</v>
      </c>
      <c r="I120" s="15">
        <f>YEAR(tblClean[[#This Row],[Date]])</f>
        <v>2020</v>
      </c>
    </row>
    <row r="121" spans="1:9" x14ac:dyDescent="0.25">
      <c r="A121" s="7">
        <v>44004</v>
      </c>
      <c r="B121" s="2" t="s">
        <v>255</v>
      </c>
      <c r="C121" s="4" t="str">
        <f>TRIM(CLEAN(PROPER(tblClean[[#This Row],[Transaction Description]])))</f>
        <v>International Second Former Reflect.</v>
      </c>
      <c r="D121" s="2" t="s">
        <v>27</v>
      </c>
      <c r="E121" s="3" t="str">
        <f>TRIM(CLEAN(PROPER(tblClean[[#This Row],[Category]])))</f>
        <v>Other</v>
      </c>
      <c r="F121" s="11" t="s">
        <v>256</v>
      </c>
      <c r="G121" s="2" t="s">
        <v>18</v>
      </c>
      <c r="H121" s="15">
        <f>MONTH(tblClean[[#This Row],[Date]])</f>
        <v>6</v>
      </c>
      <c r="I121" s="15">
        <f>YEAR(tblClean[[#This Row],[Date]])</f>
        <v>2020</v>
      </c>
    </row>
    <row r="122" spans="1:9" x14ac:dyDescent="0.25">
      <c r="A122" s="6">
        <v>44004</v>
      </c>
      <c r="B122" s="1" t="s">
        <v>257</v>
      </c>
      <c r="C122" s="3" t="str">
        <f>TRIM(CLEAN(PROPER(tblClean[[#This Row],[Transaction Description]])))</f>
        <v>Edge Building Court.</v>
      </c>
      <c r="D122" s="1" t="s">
        <v>53</v>
      </c>
      <c r="E122" s="3" t="str">
        <f>TRIM(CLEAN(PROPER(tblClean[[#This Row],[Category]])))</f>
        <v>Travel</v>
      </c>
      <c r="F122" s="10" t="s">
        <v>258</v>
      </c>
      <c r="G122" s="1" t="s">
        <v>8</v>
      </c>
      <c r="H122" s="15">
        <f>MONTH(tblClean[[#This Row],[Date]])</f>
        <v>6</v>
      </c>
      <c r="I122" s="15">
        <f>YEAR(tblClean[[#This Row],[Date]])</f>
        <v>2020</v>
      </c>
    </row>
    <row r="123" spans="1:9" x14ac:dyDescent="0.25">
      <c r="A123" s="7">
        <v>44006</v>
      </c>
      <c r="B123" s="2" t="s">
        <v>259</v>
      </c>
      <c r="C123" s="4" t="str">
        <f>TRIM(CLEAN(PROPER(tblClean[[#This Row],[Transaction Description]])))</f>
        <v>Week Real Course School Everybody.</v>
      </c>
      <c r="D123" s="2" t="s">
        <v>35</v>
      </c>
      <c r="E123" s="3" t="str">
        <f>TRIM(CLEAN(PROPER(tblClean[[#This Row],[Category]])))</f>
        <v>Health &amp; Fitness</v>
      </c>
      <c r="F123" s="11" t="s">
        <v>260</v>
      </c>
      <c r="G123" s="2" t="s">
        <v>8</v>
      </c>
      <c r="H123" s="15">
        <f>MONTH(tblClean[[#This Row],[Date]])</f>
        <v>6</v>
      </c>
      <c r="I123" s="15">
        <f>YEAR(tblClean[[#This Row],[Date]])</f>
        <v>2020</v>
      </c>
    </row>
    <row r="124" spans="1:9" x14ac:dyDescent="0.25">
      <c r="A124" s="6">
        <v>44012</v>
      </c>
      <c r="B124" s="1" t="s">
        <v>261</v>
      </c>
      <c r="C124" s="3" t="str">
        <f>TRIM(CLEAN(PROPER(tblClean[[#This Row],[Transaction Description]])))</f>
        <v>Executive Beyond Create Dinner Conference.</v>
      </c>
      <c r="D124" s="1" t="s">
        <v>13</v>
      </c>
      <c r="E124" s="3" t="str">
        <f>TRIM(CLEAN(PROPER(tblClean[[#This Row],[Category]])))</f>
        <v>Rent</v>
      </c>
      <c r="F124" s="10" t="s">
        <v>262</v>
      </c>
      <c r="G124" s="1" t="s">
        <v>8</v>
      </c>
      <c r="H124" s="15">
        <f>MONTH(tblClean[[#This Row],[Date]])</f>
        <v>6</v>
      </c>
      <c r="I124" s="15">
        <f>YEAR(tblClean[[#This Row],[Date]])</f>
        <v>2020</v>
      </c>
    </row>
    <row r="125" spans="1:9" x14ac:dyDescent="0.25">
      <c r="A125" s="7">
        <v>44012</v>
      </c>
      <c r="B125" s="2" t="s">
        <v>263</v>
      </c>
      <c r="C125" s="4" t="str">
        <f>TRIM(CLEAN(PROPER(tblClean[[#This Row],[Transaction Description]])))</f>
        <v>Call Animal Approach Factor Want.</v>
      </c>
      <c r="D125" s="2" t="s">
        <v>53</v>
      </c>
      <c r="E125" s="3" t="str">
        <f>TRIM(CLEAN(PROPER(tblClean[[#This Row],[Category]])))</f>
        <v>Travel</v>
      </c>
      <c r="F125" s="11" t="s">
        <v>264</v>
      </c>
      <c r="G125" s="2" t="s">
        <v>8</v>
      </c>
      <c r="H125" s="15">
        <f>MONTH(tblClean[[#This Row],[Date]])</f>
        <v>6</v>
      </c>
      <c r="I125" s="15">
        <f>YEAR(tblClean[[#This Row],[Date]])</f>
        <v>2020</v>
      </c>
    </row>
    <row r="126" spans="1:9" x14ac:dyDescent="0.25">
      <c r="A126" s="6">
        <v>44014</v>
      </c>
      <c r="B126" s="1" t="s">
        <v>265</v>
      </c>
      <c r="C126" s="3" t="str">
        <f>TRIM(CLEAN(PROPER(tblClean[[#This Row],[Transaction Description]])))</f>
        <v>Their Off.</v>
      </c>
      <c r="D126" s="1" t="s">
        <v>30</v>
      </c>
      <c r="E126" s="3" t="str">
        <f>TRIM(CLEAN(PROPER(tblClean[[#This Row],[Category]])))</f>
        <v>Entertainment</v>
      </c>
      <c r="F126" s="10" t="s">
        <v>266</v>
      </c>
      <c r="G126" s="1" t="s">
        <v>8</v>
      </c>
      <c r="H126" s="15">
        <f>MONTH(tblClean[[#This Row],[Date]])</f>
        <v>7</v>
      </c>
      <c r="I126" s="15">
        <f>YEAR(tblClean[[#This Row],[Date]])</f>
        <v>2020</v>
      </c>
    </row>
    <row r="127" spans="1:9" x14ac:dyDescent="0.25">
      <c r="A127" s="7">
        <v>44015</v>
      </c>
      <c r="B127" s="2" t="s">
        <v>267</v>
      </c>
      <c r="C127" s="4" t="str">
        <f>TRIM(CLEAN(PROPER(tblClean[[#This Row],[Transaction Description]])))</f>
        <v>Key Continue Anything Wait.</v>
      </c>
      <c r="D127" s="2" t="s">
        <v>27</v>
      </c>
      <c r="E127" s="3" t="str">
        <f>TRIM(CLEAN(PROPER(tblClean[[#This Row],[Category]])))</f>
        <v>Other</v>
      </c>
      <c r="F127" s="11" t="s">
        <v>268</v>
      </c>
      <c r="G127" s="2" t="s">
        <v>18</v>
      </c>
      <c r="H127" s="15">
        <f>MONTH(tblClean[[#This Row],[Date]])</f>
        <v>7</v>
      </c>
      <c r="I127" s="15">
        <f>YEAR(tblClean[[#This Row],[Date]])</f>
        <v>2020</v>
      </c>
    </row>
    <row r="128" spans="1:9" x14ac:dyDescent="0.25">
      <c r="A128" s="6">
        <v>44016</v>
      </c>
      <c r="B128" s="1" t="s">
        <v>269</v>
      </c>
      <c r="C128" s="3" t="str">
        <f>TRIM(CLEAN(PROPER(tblClean[[#This Row],[Transaction Description]])))</f>
        <v>State Husband.</v>
      </c>
      <c r="D128" s="1" t="s">
        <v>13</v>
      </c>
      <c r="E128" s="3" t="str">
        <f>TRIM(CLEAN(PROPER(tblClean[[#This Row],[Category]])))</f>
        <v>Rent</v>
      </c>
      <c r="F128" s="10" t="s">
        <v>270</v>
      </c>
      <c r="G128" s="1" t="s">
        <v>8</v>
      </c>
      <c r="H128" s="15">
        <f>MONTH(tblClean[[#This Row],[Date]])</f>
        <v>7</v>
      </c>
      <c r="I128" s="15">
        <f>YEAR(tblClean[[#This Row],[Date]])</f>
        <v>2020</v>
      </c>
    </row>
    <row r="129" spans="1:9" x14ac:dyDescent="0.25">
      <c r="A129" s="7">
        <v>44017</v>
      </c>
      <c r="B129" s="2" t="s">
        <v>271</v>
      </c>
      <c r="C129" s="4" t="str">
        <f>TRIM(CLEAN(PROPER(tblClean[[#This Row],[Transaction Description]])))</f>
        <v>Picture Approach Chance None Fight.</v>
      </c>
      <c r="D129" s="2" t="s">
        <v>53</v>
      </c>
      <c r="E129" s="3" t="str">
        <f>TRIM(CLEAN(PROPER(tblClean[[#This Row],[Category]])))</f>
        <v>Travel</v>
      </c>
      <c r="F129" s="11" t="s">
        <v>272</v>
      </c>
      <c r="G129" s="2" t="s">
        <v>8</v>
      </c>
      <c r="H129" s="15">
        <f>MONTH(tblClean[[#This Row],[Date]])</f>
        <v>7</v>
      </c>
      <c r="I129" s="15">
        <f>YEAR(tblClean[[#This Row],[Date]])</f>
        <v>2020</v>
      </c>
    </row>
    <row r="130" spans="1:9" x14ac:dyDescent="0.25">
      <c r="A130" s="7">
        <v>44018</v>
      </c>
      <c r="B130" s="2" t="s">
        <v>275</v>
      </c>
      <c r="C130" s="4" t="str">
        <f>TRIM(CLEAN(PROPER(tblClean[[#This Row],[Transaction Description]])))</f>
        <v>Herself Training Father Open Investment.</v>
      </c>
      <c r="D130" s="2" t="s">
        <v>27</v>
      </c>
      <c r="E130" s="3" t="str">
        <f>TRIM(CLEAN(PROPER(tblClean[[#This Row],[Category]])))</f>
        <v>Other</v>
      </c>
      <c r="F130" s="11" t="s">
        <v>276</v>
      </c>
      <c r="G130" s="2" t="s">
        <v>18</v>
      </c>
      <c r="H130" s="15">
        <f>MONTH(tblClean[[#This Row],[Date]])</f>
        <v>7</v>
      </c>
      <c r="I130" s="15">
        <f>YEAR(tblClean[[#This Row],[Date]])</f>
        <v>2020</v>
      </c>
    </row>
    <row r="131" spans="1:9" x14ac:dyDescent="0.25">
      <c r="A131" s="6">
        <v>44018</v>
      </c>
      <c r="B131" s="1" t="s">
        <v>273</v>
      </c>
      <c r="C131" s="3" t="str">
        <f>TRIM(CLEAN(PROPER(tblClean[[#This Row],[Transaction Description]])))</f>
        <v>Newspaper Indicate Other.</v>
      </c>
      <c r="D131" s="1" t="s">
        <v>53</v>
      </c>
      <c r="E131" s="3" t="str">
        <f>TRIM(CLEAN(PROPER(tblClean[[#This Row],[Category]])))</f>
        <v>Travel</v>
      </c>
      <c r="F131" s="10" t="s">
        <v>274</v>
      </c>
      <c r="G131" s="1" t="s">
        <v>8</v>
      </c>
      <c r="H131" s="15">
        <f>MONTH(tblClean[[#This Row],[Date]])</f>
        <v>7</v>
      </c>
      <c r="I131" s="15">
        <f>YEAR(tblClean[[#This Row],[Date]])</f>
        <v>2020</v>
      </c>
    </row>
    <row r="132" spans="1:9" x14ac:dyDescent="0.25">
      <c r="A132" s="6">
        <v>44020</v>
      </c>
      <c r="B132" s="1" t="s">
        <v>277</v>
      </c>
      <c r="C132" s="3" t="str">
        <f>TRIM(CLEAN(PROPER(tblClean[[#This Row],[Transaction Description]])))</f>
        <v>Art Whether Between Several Personal.</v>
      </c>
      <c r="D132" s="1" t="s">
        <v>53</v>
      </c>
      <c r="E132" s="3" t="str">
        <f>TRIM(CLEAN(PROPER(tblClean[[#This Row],[Category]])))</f>
        <v>Travel</v>
      </c>
      <c r="F132" s="10" t="s">
        <v>278</v>
      </c>
      <c r="G132" s="1" t="s">
        <v>8</v>
      </c>
      <c r="H132" s="15">
        <f>MONTH(tblClean[[#This Row],[Date]])</f>
        <v>7</v>
      </c>
      <c r="I132" s="15">
        <f>YEAR(tblClean[[#This Row],[Date]])</f>
        <v>2020</v>
      </c>
    </row>
    <row r="133" spans="1:9" x14ac:dyDescent="0.25">
      <c r="A133" s="7">
        <v>44023</v>
      </c>
      <c r="B133" s="2" t="s">
        <v>279</v>
      </c>
      <c r="C133" s="4" t="str">
        <f>TRIM(CLEAN(PROPER(tblClean[[#This Row],[Transaction Description]])))</f>
        <v>Church Community.</v>
      </c>
      <c r="D133" s="2" t="s">
        <v>53</v>
      </c>
      <c r="E133" s="3" t="str">
        <f>TRIM(CLEAN(PROPER(tblClean[[#This Row],[Category]])))</f>
        <v>Travel</v>
      </c>
      <c r="F133" s="11" t="s">
        <v>280</v>
      </c>
      <c r="G133" s="2" t="s">
        <v>8</v>
      </c>
      <c r="H133" s="15">
        <f>MONTH(tblClean[[#This Row],[Date]])</f>
        <v>7</v>
      </c>
      <c r="I133" s="15">
        <f>YEAR(tblClean[[#This Row],[Date]])</f>
        <v>2020</v>
      </c>
    </row>
    <row r="134" spans="1:9" x14ac:dyDescent="0.25">
      <c r="A134" s="7">
        <v>44024</v>
      </c>
      <c r="B134" s="2" t="s">
        <v>283</v>
      </c>
      <c r="C134" s="4" t="str">
        <f>TRIM(CLEAN(PROPER(tblClean[[#This Row],[Transaction Description]])))</f>
        <v>Discuss Religious.</v>
      </c>
      <c r="D134" s="2" t="s">
        <v>30</v>
      </c>
      <c r="E134" s="3" t="str">
        <f>TRIM(CLEAN(PROPER(tblClean[[#This Row],[Category]])))</f>
        <v>Entertainment</v>
      </c>
      <c r="F134" s="11" t="s">
        <v>284</v>
      </c>
      <c r="G134" s="2" t="s">
        <v>8</v>
      </c>
      <c r="H134" s="15">
        <f>MONTH(tblClean[[#This Row],[Date]])</f>
        <v>7</v>
      </c>
      <c r="I134" s="15">
        <f>YEAR(tblClean[[#This Row],[Date]])</f>
        <v>2020</v>
      </c>
    </row>
    <row r="135" spans="1:9" x14ac:dyDescent="0.25">
      <c r="A135" s="6">
        <v>44024</v>
      </c>
      <c r="B135" s="1" t="s">
        <v>281</v>
      </c>
      <c r="C135" s="3" t="str">
        <f>TRIM(CLEAN(PROPER(tblClean[[#This Row],[Transaction Description]])))</f>
        <v>Able Late Order.</v>
      </c>
      <c r="D135" s="1" t="s">
        <v>35</v>
      </c>
      <c r="E135" s="3" t="str">
        <f>TRIM(CLEAN(PROPER(tblClean[[#This Row],[Category]])))</f>
        <v>Health &amp; Fitness</v>
      </c>
      <c r="F135" s="10" t="s">
        <v>282</v>
      </c>
      <c r="G135" s="1" t="s">
        <v>8</v>
      </c>
      <c r="H135" s="15">
        <f>MONTH(tblClean[[#This Row],[Date]])</f>
        <v>7</v>
      </c>
      <c r="I135" s="15">
        <f>YEAR(tblClean[[#This Row],[Date]])</f>
        <v>2020</v>
      </c>
    </row>
    <row r="136" spans="1:9" x14ac:dyDescent="0.25">
      <c r="A136" s="6">
        <v>44025</v>
      </c>
      <c r="B136" s="1" t="s">
        <v>285</v>
      </c>
      <c r="C136" s="3" t="str">
        <f>TRIM(CLEAN(PROPER(tblClean[[#This Row],[Transaction Description]])))</f>
        <v>Reach Under.</v>
      </c>
      <c r="D136" s="1" t="s">
        <v>10</v>
      </c>
      <c r="E136" s="3" t="str">
        <f>TRIM(CLEAN(PROPER(tblClean[[#This Row],[Category]])))</f>
        <v>Utilities</v>
      </c>
      <c r="F136" s="10" t="s">
        <v>286</v>
      </c>
      <c r="G136" s="1" t="s">
        <v>8</v>
      </c>
      <c r="H136" s="15">
        <f>MONTH(tblClean[[#This Row],[Date]])</f>
        <v>7</v>
      </c>
      <c r="I136" s="15">
        <f>YEAR(tblClean[[#This Row],[Date]])</f>
        <v>2020</v>
      </c>
    </row>
    <row r="137" spans="1:9" x14ac:dyDescent="0.25">
      <c r="A137" s="7">
        <v>44029</v>
      </c>
      <c r="B137" s="2" t="s">
        <v>287</v>
      </c>
      <c r="C137" s="4" t="str">
        <f>TRIM(CLEAN(PROPER(tblClean[[#This Row],[Transaction Description]])))</f>
        <v>Boy Different Chance Enter.</v>
      </c>
      <c r="D137" s="2" t="s">
        <v>35</v>
      </c>
      <c r="E137" s="3" t="str">
        <f>TRIM(CLEAN(PROPER(tblClean[[#This Row],[Category]])))</f>
        <v>Health &amp; Fitness</v>
      </c>
      <c r="F137" s="11" t="s">
        <v>288</v>
      </c>
      <c r="G137" s="2" t="s">
        <v>8</v>
      </c>
      <c r="H137" s="15">
        <f>MONTH(tblClean[[#This Row],[Date]])</f>
        <v>7</v>
      </c>
      <c r="I137" s="15">
        <f>YEAR(tblClean[[#This Row],[Date]])</f>
        <v>2020</v>
      </c>
    </row>
    <row r="138" spans="1:9" x14ac:dyDescent="0.25">
      <c r="A138" s="6">
        <v>44032</v>
      </c>
      <c r="B138" s="1" t="s">
        <v>289</v>
      </c>
      <c r="C138" s="3" t="str">
        <f>TRIM(CLEAN(PROPER(tblClean[[#This Row],[Transaction Description]])))</f>
        <v>Arrive Society.</v>
      </c>
      <c r="D138" s="1" t="s">
        <v>30</v>
      </c>
      <c r="E138" s="3" t="str">
        <f>TRIM(CLEAN(PROPER(tblClean[[#This Row],[Category]])))</f>
        <v>Entertainment</v>
      </c>
      <c r="F138" s="10" t="s">
        <v>290</v>
      </c>
      <c r="G138" s="1" t="s">
        <v>8</v>
      </c>
      <c r="H138" s="15">
        <f>MONTH(tblClean[[#This Row],[Date]])</f>
        <v>7</v>
      </c>
      <c r="I138" s="15">
        <f>YEAR(tblClean[[#This Row],[Date]])</f>
        <v>2020</v>
      </c>
    </row>
    <row r="139" spans="1:9" x14ac:dyDescent="0.25">
      <c r="A139" s="7">
        <v>44033</v>
      </c>
      <c r="B139" s="2" t="s">
        <v>291</v>
      </c>
      <c r="C139" s="4" t="str">
        <f>TRIM(CLEAN(PROPER(tblClean[[#This Row],[Transaction Description]])))</f>
        <v>Keep Light Fight.</v>
      </c>
      <c r="D139" s="2" t="s">
        <v>30</v>
      </c>
      <c r="E139" s="3" t="str">
        <f>TRIM(CLEAN(PROPER(tblClean[[#This Row],[Category]])))</f>
        <v>Entertainment</v>
      </c>
      <c r="F139" s="11" t="s">
        <v>292</v>
      </c>
      <c r="G139" s="2" t="s">
        <v>8</v>
      </c>
      <c r="H139" s="15">
        <f>MONTH(tblClean[[#This Row],[Date]])</f>
        <v>7</v>
      </c>
      <c r="I139" s="15">
        <f>YEAR(tblClean[[#This Row],[Date]])</f>
        <v>2020</v>
      </c>
    </row>
    <row r="140" spans="1:9" x14ac:dyDescent="0.25">
      <c r="A140" s="6">
        <v>44033</v>
      </c>
      <c r="B140" s="1" t="s">
        <v>293</v>
      </c>
      <c r="C140" s="3" t="str">
        <f>TRIM(CLEAN(PROPER(tblClean[[#This Row],[Transaction Description]])))</f>
        <v>Matter Management Ball.</v>
      </c>
      <c r="D140" s="1" t="s">
        <v>27</v>
      </c>
      <c r="E140" s="3" t="str">
        <f>TRIM(CLEAN(PROPER(tblClean[[#This Row],[Category]])))</f>
        <v>Other</v>
      </c>
      <c r="F140" s="10" t="s">
        <v>294</v>
      </c>
      <c r="G140" s="1" t="s">
        <v>18</v>
      </c>
      <c r="H140" s="15">
        <f>MONTH(tblClean[[#This Row],[Date]])</f>
        <v>7</v>
      </c>
      <c r="I140" s="15">
        <f>YEAR(tblClean[[#This Row],[Date]])</f>
        <v>2020</v>
      </c>
    </row>
    <row r="141" spans="1:9" x14ac:dyDescent="0.25">
      <c r="A141" s="7">
        <v>44034</v>
      </c>
      <c r="B141" s="2" t="s">
        <v>295</v>
      </c>
      <c r="C141" s="4" t="str">
        <f>TRIM(CLEAN(PROPER(tblClean[[#This Row],[Transaction Description]])))</f>
        <v>Same Page Ago Director.</v>
      </c>
      <c r="D141" s="2" t="s">
        <v>30</v>
      </c>
      <c r="E141" s="3" t="str">
        <f>TRIM(CLEAN(PROPER(tblClean[[#This Row],[Category]])))</f>
        <v>Entertainment</v>
      </c>
      <c r="F141" s="11" t="s">
        <v>296</v>
      </c>
      <c r="G141" s="2" t="s">
        <v>8</v>
      </c>
      <c r="H141" s="15">
        <f>MONTH(tblClean[[#This Row],[Date]])</f>
        <v>7</v>
      </c>
      <c r="I141" s="15">
        <f>YEAR(tblClean[[#This Row],[Date]])</f>
        <v>2020</v>
      </c>
    </row>
    <row r="142" spans="1:9" x14ac:dyDescent="0.25">
      <c r="A142" s="7">
        <v>44034</v>
      </c>
      <c r="B142" s="2" t="s">
        <v>299</v>
      </c>
      <c r="C142" s="4" t="str">
        <f>TRIM(CLEAN(PROPER(tblClean[[#This Row],[Transaction Description]])))</f>
        <v>Million Kind Everything Young.</v>
      </c>
      <c r="D142" s="2" t="s">
        <v>6</v>
      </c>
      <c r="E142" s="3" t="str">
        <f>TRIM(CLEAN(PROPER(tblClean[[#This Row],[Category]])))</f>
        <v>Food &amp; Drink</v>
      </c>
      <c r="F142" s="11" t="s">
        <v>300</v>
      </c>
      <c r="G142" s="2" t="s">
        <v>8</v>
      </c>
      <c r="H142" s="15">
        <f>MONTH(tblClean[[#This Row],[Date]])</f>
        <v>7</v>
      </c>
      <c r="I142" s="15">
        <f>YEAR(tblClean[[#This Row],[Date]])</f>
        <v>2020</v>
      </c>
    </row>
    <row r="143" spans="1:9" x14ac:dyDescent="0.25">
      <c r="A143" s="6">
        <v>44034</v>
      </c>
      <c r="B143" s="1" t="s">
        <v>297</v>
      </c>
      <c r="C143" s="3" t="str">
        <f>TRIM(CLEAN(PROPER(tblClean[[#This Row],[Transaction Description]])))</f>
        <v>Week Yourself Public Especially American.</v>
      </c>
      <c r="D143" s="1" t="s">
        <v>22</v>
      </c>
      <c r="E143" s="3" t="str">
        <f>TRIM(CLEAN(PROPER(tblClean[[#This Row],[Category]])))</f>
        <v>Shopping</v>
      </c>
      <c r="F143" s="10" t="s">
        <v>298</v>
      </c>
      <c r="G143" s="1" t="s">
        <v>8</v>
      </c>
      <c r="H143" s="15">
        <f>MONTH(tblClean[[#This Row],[Date]])</f>
        <v>7</v>
      </c>
      <c r="I143" s="15">
        <f>YEAR(tblClean[[#This Row],[Date]])</f>
        <v>2020</v>
      </c>
    </row>
    <row r="144" spans="1:9" x14ac:dyDescent="0.25">
      <c r="A144" s="6">
        <v>44035</v>
      </c>
      <c r="B144" s="1" t="s">
        <v>301</v>
      </c>
      <c r="C144" s="3" t="str">
        <f>TRIM(CLEAN(PROPER(tblClean[[#This Row],[Transaction Description]])))</f>
        <v>Why Like Impact Fly.</v>
      </c>
      <c r="D144" s="1" t="s">
        <v>13</v>
      </c>
      <c r="E144" s="3" t="str">
        <f>TRIM(CLEAN(PROPER(tblClean[[#This Row],[Category]])))</f>
        <v>Rent</v>
      </c>
      <c r="F144" s="10" t="s">
        <v>302</v>
      </c>
      <c r="G144" s="1" t="s">
        <v>8</v>
      </c>
      <c r="H144" s="15">
        <f>MONTH(tblClean[[#This Row],[Date]])</f>
        <v>7</v>
      </c>
      <c r="I144" s="15">
        <f>YEAR(tblClean[[#This Row],[Date]])</f>
        <v>2020</v>
      </c>
    </row>
    <row r="145" spans="1:9" x14ac:dyDescent="0.25">
      <c r="A145" s="7">
        <v>44036</v>
      </c>
      <c r="B145" s="2" t="s">
        <v>303</v>
      </c>
      <c r="C145" s="4" t="str">
        <f>TRIM(CLEAN(PROPER(tblClean[[#This Row],[Transaction Description]])))</f>
        <v>Form Really Explain.</v>
      </c>
      <c r="D145" s="2" t="s">
        <v>38</v>
      </c>
      <c r="E145" s="3" t="str">
        <f>TRIM(CLEAN(PROPER(tblClean[[#This Row],[Category]])))</f>
        <v>Salary</v>
      </c>
      <c r="F145" s="11" t="s">
        <v>304</v>
      </c>
      <c r="G145" s="2" t="s">
        <v>8</v>
      </c>
      <c r="H145" s="15">
        <f>MONTH(tblClean[[#This Row],[Date]])</f>
        <v>7</v>
      </c>
      <c r="I145" s="15">
        <f>YEAR(tblClean[[#This Row],[Date]])</f>
        <v>2020</v>
      </c>
    </row>
    <row r="146" spans="1:9" x14ac:dyDescent="0.25">
      <c r="A146" s="7">
        <v>44040</v>
      </c>
      <c r="B146" s="2" t="s">
        <v>307</v>
      </c>
      <c r="C146" s="4" t="str">
        <f>TRIM(CLEAN(PROPER(tblClean[[#This Row],[Transaction Description]])))</f>
        <v>Price My.</v>
      </c>
      <c r="D146" s="2" t="s">
        <v>35</v>
      </c>
      <c r="E146" s="3" t="str">
        <f>TRIM(CLEAN(PROPER(tblClean[[#This Row],[Category]])))</f>
        <v>Health &amp; Fitness</v>
      </c>
      <c r="F146" s="11" t="s">
        <v>308</v>
      </c>
      <c r="G146" s="2" t="s">
        <v>8</v>
      </c>
      <c r="H146" s="15">
        <f>MONTH(tblClean[[#This Row],[Date]])</f>
        <v>7</v>
      </c>
      <c r="I146" s="15">
        <f>YEAR(tblClean[[#This Row],[Date]])</f>
        <v>2020</v>
      </c>
    </row>
    <row r="147" spans="1:9" x14ac:dyDescent="0.25">
      <c r="A147" s="6">
        <v>44040</v>
      </c>
      <c r="B147" s="1" t="s">
        <v>305</v>
      </c>
      <c r="C147" s="3" t="str">
        <f>TRIM(CLEAN(PROPER(tblClean[[#This Row],[Transaction Description]])))</f>
        <v>Already Because Education Break Significant.</v>
      </c>
      <c r="D147" s="1" t="s">
        <v>13</v>
      </c>
      <c r="E147" s="3" t="str">
        <f>TRIM(CLEAN(PROPER(tblClean[[#This Row],[Category]])))</f>
        <v>Rent</v>
      </c>
      <c r="F147" s="10" t="s">
        <v>306</v>
      </c>
      <c r="G147" s="1" t="s">
        <v>8</v>
      </c>
      <c r="H147" s="15">
        <f>MONTH(tblClean[[#This Row],[Date]])</f>
        <v>7</v>
      </c>
      <c r="I147" s="15">
        <f>YEAR(tblClean[[#This Row],[Date]])</f>
        <v>2020</v>
      </c>
    </row>
    <row r="148" spans="1:9" x14ac:dyDescent="0.25">
      <c r="A148" s="6">
        <v>44041</v>
      </c>
      <c r="B148" s="1" t="s">
        <v>309</v>
      </c>
      <c r="C148" s="3" t="str">
        <f>TRIM(CLEAN(PROPER(tblClean[[#This Row],[Transaction Description]])))</f>
        <v>Could Gun.</v>
      </c>
      <c r="D148" s="1" t="s">
        <v>22</v>
      </c>
      <c r="E148" s="3" t="str">
        <f>TRIM(CLEAN(PROPER(tblClean[[#This Row],[Category]])))</f>
        <v>Shopping</v>
      </c>
      <c r="F148" s="10" t="s">
        <v>310</v>
      </c>
      <c r="G148" s="1" t="s">
        <v>8</v>
      </c>
      <c r="H148" s="15">
        <f>MONTH(tblClean[[#This Row],[Date]])</f>
        <v>7</v>
      </c>
      <c r="I148" s="15">
        <f>YEAR(tblClean[[#This Row],[Date]])</f>
        <v>2020</v>
      </c>
    </row>
    <row r="149" spans="1:9" x14ac:dyDescent="0.25">
      <c r="A149" s="7">
        <v>44042</v>
      </c>
      <c r="B149" s="2" t="s">
        <v>311</v>
      </c>
      <c r="C149" s="4" t="str">
        <f>TRIM(CLEAN(PROPER(tblClean[[#This Row],[Transaction Description]])))</f>
        <v>Kind Appear Environment Capital Explain.</v>
      </c>
      <c r="D149" s="2" t="s">
        <v>10</v>
      </c>
      <c r="E149" s="3" t="str">
        <f>TRIM(CLEAN(PROPER(tblClean[[#This Row],[Category]])))</f>
        <v>Utilities</v>
      </c>
      <c r="F149" s="11" t="s">
        <v>312</v>
      </c>
      <c r="G149" s="2" t="s">
        <v>8</v>
      </c>
      <c r="H149" s="15">
        <f>MONTH(tblClean[[#This Row],[Date]])</f>
        <v>7</v>
      </c>
      <c r="I149" s="15">
        <f>YEAR(tblClean[[#This Row],[Date]])</f>
        <v>2020</v>
      </c>
    </row>
    <row r="150" spans="1:9" x14ac:dyDescent="0.25">
      <c r="A150" s="6">
        <v>44043</v>
      </c>
      <c r="B150" s="1" t="s">
        <v>313</v>
      </c>
      <c r="C150" s="3" t="str">
        <f>TRIM(CLEAN(PROPER(tblClean[[#This Row],[Transaction Description]])))</f>
        <v>Ahead Picture Son.</v>
      </c>
      <c r="D150" s="1" t="s">
        <v>53</v>
      </c>
      <c r="E150" s="3" t="str">
        <f>TRIM(CLEAN(PROPER(tblClean[[#This Row],[Category]])))</f>
        <v>Travel</v>
      </c>
      <c r="F150" s="10" t="s">
        <v>314</v>
      </c>
      <c r="G150" s="1" t="s">
        <v>8</v>
      </c>
      <c r="H150" s="15">
        <f>MONTH(tblClean[[#This Row],[Date]])</f>
        <v>7</v>
      </c>
      <c r="I150" s="15">
        <f>YEAR(tblClean[[#This Row],[Date]])</f>
        <v>2020</v>
      </c>
    </row>
    <row r="151" spans="1:9" x14ac:dyDescent="0.25">
      <c r="A151" s="6">
        <v>44044</v>
      </c>
      <c r="B151" s="1" t="s">
        <v>317</v>
      </c>
      <c r="C151" s="3" t="str">
        <f>TRIM(CLEAN(PROPER(tblClean[[#This Row],[Transaction Description]])))</f>
        <v>Water Positive Child Usually.</v>
      </c>
      <c r="D151" s="1" t="s">
        <v>30</v>
      </c>
      <c r="E151" s="3" t="str">
        <f>TRIM(CLEAN(PROPER(tblClean[[#This Row],[Category]])))</f>
        <v>Entertainment</v>
      </c>
      <c r="F151" s="10" t="s">
        <v>318</v>
      </c>
      <c r="G151" s="1" t="s">
        <v>8</v>
      </c>
      <c r="H151" s="15">
        <f>MONTH(tblClean[[#This Row],[Date]])</f>
        <v>8</v>
      </c>
      <c r="I151" s="15">
        <f>YEAR(tblClean[[#This Row],[Date]])</f>
        <v>2020</v>
      </c>
    </row>
    <row r="152" spans="1:9" x14ac:dyDescent="0.25">
      <c r="A152" s="7">
        <v>44044</v>
      </c>
      <c r="B152" s="2" t="s">
        <v>319</v>
      </c>
      <c r="C152" s="4" t="str">
        <f>TRIM(CLEAN(PROPER(tblClean[[#This Row],[Transaction Description]])))</f>
        <v>Relate Indeed Lot Line Lead.</v>
      </c>
      <c r="D152" s="2" t="s">
        <v>27</v>
      </c>
      <c r="E152" s="3" t="str">
        <f>TRIM(CLEAN(PROPER(tblClean[[#This Row],[Category]])))</f>
        <v>Other</v>
      </c>
      <c r="F152" s="11" t="s">
        <v>320</v>
      </c>
      <c r="G152" s="2" t="s">
        <v>18</v>
      </c>
      <c r="H152" s="15">
        <f>MONTH(tblClean[[#This Row],[Date]])</f>
        <v>8</v>
      </c>
      <c r="I152" s="15">
        <f>YEAR(tblClean[[#This Row],[Date]])</f>
        <v>2020</v>
      </c>
    </row>
    <row r="153" spans="1:9" x14ac:dyDescent="0.25">
      <c r="A153" s="7">
        <v>44044</v>
      </c>
      <c r="B153" s="2" t="s">
        <v>315</v>
      </c>
      <c r="C153" s="4" t="str">
        <f>TRIM(CLEAN(PROPER(tblClean[[#This Row],[Transaction Description]])))</f>
        <v>Nearly Need Behavior.</v>
      </c>
      <c r="D153" s="2" t="s">
        <v>53</v>
      </c>
      <c r="E153" s="3" t="str">
        <f>TRIM(CLEAN(PROPER(tblClean[[#This Row],[Category]])))</f>
        <v>Travel</v>
      </c>
      <c r="F153" s="11" t="s">
        <v>316</v>
      </c>
      <c r="G153" s="2" t="s">
        <v>8</v>
      </c>
      <c r="H153" s="15">
        <f>MONTH(tblClean[[#This Row],[Date]])</f>
        <v>8</v>
      </c>
      <c r="I153" s="15">
        <f>YEAR(tblClean[[#This Row],[Date]])</f>
        <v>2020</v>
      </c>
    </row>
    <row r="154" spans="1:9" x14ac:dyDescent="0.25">
      <c r="A154" s="6">
        <v>44045</v>
      </c>
      <c r="B154" s="1" t="s">
        <v>321</v>
      </c>
      <c r="C154" s="3" t="str">
        <f>TRIM(CLEAN(PROPER(tblClean[[#This Row],[Transaction Description]])))</f>
        <v>Course Out Second Carry.</v>
      </c>
      <c r="D154" s="1" t="s">
        <v>35</v>
      </c>
      <c r="E154" s="3" t="str">
        <f>TRIM(CLEAN(PROPER(tblClean[[#This Row],[Category]])))</f>
        <v>Health &amp; Fitness</v>
      </c>
      <c r="F154" s="10" t="s">
        <v>322</v>
      </c>
      <c r="G154" s="1" t="s">
        <v>8</v>
      </c>
      <c r="H154" s="15">
        <f>MONTH(tblClean[[#This Row],[Date]])</f>
        <v>8</v>
      </c>
      <c r="I154" s="15">
        <f>YEAR(tblClean[[#This Row],[Date]])</f>
        <v>2020</v>
      </c>
    </row>
    <row r="155" spans="1:9" x14ac:dyDescent="0.25">
      <c r="A155" s="7">
        <v>44046</v>
      </c>
      <c r="B155" s="2" t="s">
        <v>323</v>
      </c>
      <c r="C155" s="4" t="str">
        <f>TRIM(CLEAN(PROPER(tblClean[[#This Row],[Transaction Description]])))</f>
        <v>Significant Take Future.</v>
      </c>
      <c r="D155" s="2" t="s">
        <v>16</v>
      </c>
      <c r="E155" s="3" t="str">
        <f>TRIM(CLEAN(PROPER(tblClean[[#This Row],[Category]])))</f>
        <v>Investment</v>
      </c>
      <c r="F155" s="11" t="s">
        <v>324</v>
      </c>
      <c r="G155" s="2" t="s">
        <v>18</v>
      </c>
      <c r="H155" s="15">
        <f>MONTH(tblClean[[#This Row],[Date]])</f>
        <v>8</v>
      </c>
      <c r="I155" s="15">
        <f>YEAR(tblClean[[#This Row],[Date]])</f>
        <v>2020</v>
      </c>
    </row>
    <row r="156" spans="1:9" x14ac:dyDescent="0.25">
      <c r="A156" s="7">
        <v>44047</v>
      </c>
      <c r="B156" s="2" t="s">
        <v>327</v>
      </c>
      <c r="C156" s="4" t="str">
        <f>TRIM(CLEAN(PROPER(tblClean[[#This Row],[Transaction Description]])))</f>
        <v>Your Majority Chance Mrs Generation.</v>
      </c>
      <c r="D156" s="2" t="s">
        <v>27</v>
      </c>
      <c r="E156" s="3" t="str">
        <f>TRIM(CLEAN(PROPER(tblClean[[#This Row],[Category]])))</f>
        <v>Other</v>
      </c>
      <c r="F156" s="11" t="s">
        <v>328</v>
      </c>
      <c r="G156" s="2" t="s">
        <v>18</v>
      </c>
      <c r="H156" s="15">
        <f>MONTH(tblClean[[#This Row],[Date]])</f>
        <v>8</v>
      </c>
      <c r="I156" s="15">
        <f>YEAR(tblClean[[#This Row],[Date]])</f>
        <v>2020</v>
      </c>
    </row>
    <row r="157" spans="1:9" x14ac:dyDescent="0.25">
      <c r="A157" s="6">
        <v>44047</v>
      </c>
      <c r="B157" s="1" t="s">
        <v>329</v>
      </c>
      <c r="C157" s="3" t="str">
        <f>TRIM(CLEAN(PROPER(tblClean[[#This Row],[Transaction Description]])))</f>
        <v>Help Usually Thank Wonder Draw.</v>
      </c>
      <c r="D157" s="1" t="s">
        <v>22</v>
      </c>
      <c r="E157" s="3" t="str">
        <f>TRIM(CLEAN(PROPER(tblClean[[#This Row],[Category]])))</f>
        <v>Shopping</v>
      </c>
      <c r="F157" s="10" t="s">
        <v>330</v>
      </c>
      <c r="G157" s="1" t="s">
        <v>8</v>
      </c>
      <c r="H157" s="15">
        <f>MONTH(tblClean[[#This Row],[Date]])</f>
        <v>8</v>
      </c>
      <c r="I157" s="15">
        <f>YEAR(tblClean[[#This Row],[Date]])</f>
        <v>2020</v>
      </c>
    </row>
    <row r="158" spans="1:9" x14ac:dyDescent="0.25">
      <c r="A158" s="6">
        <v>44047</v>
      </c>
      <c r="B158" s="1" t="s">
        <v>325</v>
      </c>
      <c r="C158" s="3" t="str">
        <f>TRIM(CLEAN(PROPER(tblClean[[#This Row],[Transaction Description]])))</f>
        <v>Star Executive Fear.</v>
      </c>
      <c r="D158" s="1" t="s">
        <v>10</v>
      </c>
      <c r="E158" s="3" t="str">
        <f>TRIM(CLEAN(PROPER(tblClean[[#This Row],[Category]])))</f>
        <v>Utilities</v>
      </c>
      <c r="F158" s="10" t="s">
        <v>326</v>
      </c>
      <c r="G158" s="1" t="s">
        <v>8</v>
      </c>
      <c r="H158" s="15">
        <f>MONTH(tblClean[[#This Row],[Date]])</f>
        <v>8</v>
      </c>
      <c r="I158" s="15">
        <f>YEAR(tblClean[[#This Row],[Date]])</f>
        <v>2020</v>
      </c>
    </row>
    <row r="159" spans="1:9" x14ac:dyDescent="0.25">
      <c r="A159" s="6">
        <v>44048</v>
      </c>
      <c r="B159" s="1" t="s">
        <v>333</v>
      </c>
      <c r="C159" s="3" t="str">
        <f>TRIM(CLEAN(PROPER(tblClean[[#This Row],[Transaction Description]])))</f>
        <v>History Professional Star Wonder.</v>
      </c>
      <c r="D159" s="1" t="s">
        <v>6</v>
      </c>
      <c r="E159" s="3" t="str">
        <f>TRIM(CLEAN(PROPER(tblClean[[#This Row],[Category]])))</f>
        <v>Food &amp; Drink</v>
      </c>
      <c r="F159" s="10" t="s">
        <v>334</v>
      </c>
      <c r="G159" s="1" t="s">
        <v>8</v>
      </c>
      <c r="H159" s="15">
        <f>MONTH(tblClean[[#This Row],[Date]])</f>
        <v>8</v>
      </c>
      <c r="I159" s="15">
        <f>YEAR(tblClean[[#This Row],[Date]])</f>
        <v>2020</v>
      </c>
    </row>
    <row r="160" spans="1:9" x14ac:dyDescent="0.25">
      <c r="A160" s="7">
        <v>44048</v>
      </c>
      <c r="B160" s="2" t="s">
        <v>331</v>
      </c>
      <c r="C160" s="4" t="str">
        <f>TRIM(CLEAN(PROPER(tblClean[[#This Row],[Transaction Description]])))</f>
        <v>Task Improve Fish.</v>
      </c>
      <c r="D160" s="2" t="s">
        <v>22</v>
      </c>
      <c r="E160" s="3" t="str">
        <f>TRIM(CLEAN(PROPER(tblClean[[#This Row],[Category]])))</f>
        <v>Shopping</v>
      </c>
      <c r="F160" s="11" t="s">
        <v>332</v>
      </c>
      <c r="G160" s="2" t="s">
        <v>8</v>
      </c>
      <c r="H160" s="15">
        <f>MONTH(tblClean[[#This Row],[Date]])</f>
        <v>8</v>
      </c>
      <c r="I160" s="15">
        <f>YEAR(tblClean[[#This Row],[Date]])</f>
        <v>2020</v>
      </c>
    </row>
    <row r="161" spans="1:9" x14ac:dyDescent="0.25">
      <c r="A161" s="7">
        <v>44049</v>
      </c>
      <c r="B161" s="2" t="s">
        <v>335</v>
      </c>
      <c r="C161" s="4" t="str">
        <f>TRIM(CLEAN(PROPER(tblClean[[#This Row],[Transaction Description]])))</f>
        <v>Call Whole.</v>
      </c>
      <c r="D161" s="2" t="s">
        <v>22</v>
      </c>
      <c r="E161" s="3" t="str">
        <f>TRIM(CLEAN(PROPER(tblClean[[#This Row],[Category]])))</f>
        <v>Shopping</v>
      </c>
      <c r="F161" s="11" t="s">
        <v>336</v>
      </c>
      <c r="G161" s="2" t="s">
        <v>8</v>
      </c>
      <c r="H161" s="15">
        <f>MONTH(tblClean[[#This Row],[Date]])</f>
        <v>8</v>
      </c>
      <c r="I161" s="15">
        <f>YEAR(tblClean[[#This Row],[Date]])</f>
        <v>2020</v>
      </c>
    </row>
    <row r="162" spans="1:9" x14ac:dyDescent="0.25">
      <c r="A162" s="7">
        <v>44051</v>
      </c>
      <c r="B162" s="2" t="s">
        <v>339</v>
      </c>
      <c r="C162" s="4" t="str">
        <f>TRIM(CLEAN(PROPER(tblClean[[#This Row],[Transaction Description]])))</f>
        <v>Address Century That Wide.</v>
      </c>
      <c r="D162" s="2" t="s">
        <v>22</v>
      </c>
      <c r="E162" s="3" t="str">
        <f>TRIM(CLEAN(PROPER(tblClean[[#This Row],[Category]])))</f>
        <v>Shopping</v>
      </c>
      <c r="F162" s="11" t="s">
        <v>340</v>
      </c>
      <c r="G162" s="2" t="s">
        <v>8</v>
      </c>
      <c r="H162" s="15">
        <f>MONTH(tblClean[[#This Row],[Date]])</f>
        <v>8</v>
      </c>
      <c r="I162" s="15">
        <f>YEAR(tblClean[[#This Row],[Date]])</f>
        <v>2020</v>
      </c>
    </row>
    <row r="163" spans="1:9" x14ac:dyDescent="0.25">
      <c r="A163" s="6">
        <v>44051</v>
      </c>
      <c r="B163" s="1" t="s">
        <v>337</v>
      </c>
      <c r="C163" s="3" t="str">
        <f>TRIM(CLEAN(PROPER(tblClean[[#This Row],[Transaction Description]])))</f>
        <v>Them Key.</v>
      </c>
      <c r="D163" s="1" t="s">
        <v>53</v>
      </c>
      <c r="E163" s="3" t="str">
        <f>TRIM(CLEAN(PROPER(tblClean[[#This Row],[Category]])))</f>
        <v>Travel</v>
      </c>
      <c r="F163" s="10" t="s">
        <v>338</v>
      </c>
      <c r="G163" s="1" t="s">
        <v>8</v>
      </c>
      <c r="H163" s="15">
        <f>MONTH(tblClean[[#This Row],[Date]])</f>
        <v>8</v>
      </c>
      <c r="I163" s="15">
        <f>YEAR(tblClean[[#This Row],[Date]])</f>
        <v>2020</v>
      </c>
    </row>
    <row r="164" spans="1:9" x14ac:dyDescent="0.25">
      <c r="A164" s="6">
        <v>44052</v>
      </c>
      <c r="B164" s="1" t="s">
        <v>341</v>
      </c>
      <c r="C164" s="3" t="str">
        <f>TRIM(CLEAN(PROPER(tblClean[[#This Row],[Transaction Description]])))</f>
        <v>Sit Enter Perhaps However.</v>
      </c>
      <c r="D164" s="1" t="s">
        <v>30</v>
      </c>
      <c r="E164" s="3" t="str">
        <f>TRIM(CLEAN(PROPER(tblClean[[#This Row],[Category]])))</f>
        <v>Entertainment</v>
      </c>
      <c r="F164" s="10" t="s">
        <v>342</v>
      </c>
      <c r="G164" s="1" t="s">
        <v>8</v>
      </c>
      <c r="H164" s="15">
        <f>MONTH(tblClean[[#This Row],[Date]])</f>
        <v>8</v>
      </c>
      <c r="I164" s="15">
        <f>YEAR(tblClean[[#This Row],[Date]])</f>
        <v>2020</v>
      </c>
    </row>
    <row r="165" spans="1:9" x14ac:dyDescent="0.25">
      <c r="A165" s="7">
        <v>44056</v>
      </c>
      <c r="B165" s="2" t="s">
        <v>343</v>
      </c>
      <c r="C165" s="4" t="str">
        <f>TRIM(CLEAN(PROPER(tblClean[[#This Row],[Transaction Description]])))</f>
        <v>System Teacher Here First.</v>
      </c>
      <c r="D165" s="2" t="s">
        <v>38</v>
      </c>
      <c r="E165" s="3" t="str">
        <f>TRIM(CLEAN(PROPER(tblClean[[#This Row],[Category]])))</f>
        <v>Salary</v>
      </c>
      <c r="F165" s="11" t="s">
        <v>344</v>
      </c>
      <c r="G165" s="2" t="s">
        <v>8</v>
      </c>
      <c r="H165" s="15">
        <f>MONTH(tblClean[[#This Row],[Date]])</f>
        <v>8</v>
      </c>
      <c r="I165" s="15">
        <f>YEAR(tblClean[[#This Row],[Date]])</f>
        <v>2020</v>
      </c>
    </row>
    <row r="166" spans="1:9" x14ac:dyDescent="0.25">
      <c r="A166" s="6">
        <v>44057</v>
      </c>
      <c r="B166" s="1" t="s">
        <v>345</v>
      </c>
      <c r="C166" s="3" t="str">
        <f>TRIM(CLEAN(PROPER(tblClean[[#This Row],[Transaction Description]])))</f>
        <v>Along Attention Piece Tv Young.</v>
      </c>
      <c r="D166" s="1" t="s">
        <v>22</v>
      </c>
      <c r="E166" s="3" t="str">
        <f>TRIM(CLEAN(PROPER(tblClean[[#This Row],[Category]])))</f>
        <v>Shopping</v>
      </c>
      <c r="F166" s="10" t="s">
        <v>346</v>
      </c>
      <c r="G166" s="1" t="s">
        <v>8</v>
      </c>
      <c r="H166" s="15">
        <f>MONTH(tblClean[[#This Row],[Date]])</f>
        <v>8</v>
      </c>
      <c r="I166" s="15">
        <f>YEAR(tblClean[[#This Row],[Date]])</f>
        <v>2020</v>
      </c>
    </row>
    <row r="167" spans="1:9" x14ac:dyDescent="0.25">
      <c r="A167" s="7">
        <v>44059</v>
      </c>
      <c r="B167" s="2" t="s">
        <v>347</v>
      </c>
      <c r="C167" s="4" t="str">
        <f>TRIM(CLEAN(PROPER(tblClean[[#This Row],[Transaction Description]])))</f>
        <v>Within Set Region Beyond.</v>
      </c>
      <c r="D167" s="2" t="s">
        <v>10</v>
      </c>
      <c r="E167" s="3" t="str">
        <f>TRIM(CLEAN(PROPER(tblClean[[#This Row],[Category]])))</f>
        <v>Utilities</v>
      </c>
      <c r="F167" s="11" t="s">
        <v>348</v>
      </c>
      <c r="G167" s="2" t="s">
        <v>8</v>
      </c>
      <c r="H167" s="15">
        <f>MONTH(tblClean[[#This Row],[Date]])</f>
        <v>8</v>
      </c>
      <c r="I167" s="15">
        <f>YEAR(tblClean[[#This Row],[Date]])</f>
        <v>2020</v>
      </c>
    </row>
    <row r="168" spans="1:9" x14ac:dyDescent="0.25">
      <c r="A168" s="6">
        <v>44060</v>
      </c>
      <c r="B168" s="1" t="s">
        <v>349</v>
      </c>
      <c r="C168" s="3" t="str">
        <f>TRIM(CLEAN(PROPER(tblClean[[#This Row],[Transaction Description]])))</f>
        <v>Tough Animal Someone.</v>
      </c>
      <c r="D168" s="1" t="s">
        <v>22</v>
      </c>
      <c r="E168" s="3" t="str">
        <f>TRIM(CLEAN(PROPER(tblClean[[#This Row],[Category]])))</f>
        <v>Shopping</v>
      </c>
      <c r="F168" s="10" t="s">
        <v>350</v>
      </c>
      <c r="G168" s="1" t="s">
        <v>8</v>
      </c>
      <c r="H168" s="15">
        <f>MONTH(tblClean[[#This Row],[Date]])</f>
        <v>8</v>
      </c>
      <c r="I168" s="15">
        <f>YEAR(tblClean[[#This Row],[Date]])</f>
        <v>2020</v>
      </c>
    </row>
    <row r="169" spans="1:9" x14ac:dyDescent="0.25">
      <c r="A169" s="7">
        <v>44061</v>
      </c>
      <c r="B169" s="2" t="s">
        <v>351</v>
      </c>
      <c r="C169" s="4" t="str">
        <f>TRIM(CLEAN(PROPER(tblClean[[#This Row],[Transaction Description]])))</f>
        <v>Hear Certainly Most Not.</v>
      </c>
      <c r="D169" s="2" t="s">
        <v>13</v>
      </c>
      <c r="E169" s="3" t="str">
        <f>TRIM(CLEAN(PROPER(tblClean[[#This Row],[Category]])))</f>
        <v>Rent</v>
      </c>
      <c r="F169" s="11" t="s">
        <v>352</v>
      </c>
      <c r="G169" s="2" t="s">
        <v>8</v>
      </c>
      <c r="H169" s="15">
        <f>MONTH(tblClean[[#This Row],[Date]])</f>
        <v>8</v>
      </c>
      <c r="I169" s="15">
        <f>YEAR(tblClean[[#This Row],[Date]])</f>
        <v>2020</v>
      </c>
    </row>
    <row r="170" spans="1:9" x14ac:dyDescent="0.25">
      <c r="A170" s="6">
        <v>44062</v>
      </c>
      <c r="B170" s="1" t="s">
        <v>353</v>
      </c>
      <c r="C170" s="3" t="str">
        <f>TRIM(CLEAN(PROPER(tblClean[[#This Row],[Transaction Description]])))</f>
        <v>Company Participant Him.</v>
      </c>
      <c r="D170" s="1" t="s">
        <v>27</v>
      </c>
      <c r="E170" s="3" t="str">
        <f>TRIM(CLEAN(PROPER(tblClean[[#This Row],[Category]])))</f>
        <v>Other</v>
      </c>
      <c r="F170" s="10" t="s">
        <v>354</v>
      </c>
      <c r="G170" s="1" t="s">
        <v>18</v>
      </c>
      <c r="H170" s="15">
        <f>MONTH(tblClean[[#This Row],[Date]])</f>
        <v>8</v>
      </c>
      <c r="I170" s="15">
        <f>YEAR(tblClean[[#This Row],[Date]])</f>
        <v>2020</v>
      </c>
    </row>
    <row r="171" spans="1:9" x14ac:dyDescent="0.25">
      <c r="A171" s="7">
        <v>44063</v>
      </c>
      <c r="B171" s="2" t="s">
        <v>355</v>
      </c>
      <c r="C171" s="4" t="str">
        <f>TRIM(CLEAN(PROPER(tblClean[[#This Row],[Transaction Description]])))</f>
        <v>Tree Central Leave Effect.</v>
      </c>
      <c r="D171" s="2" t="s">
        <v>27</v>
      </c>
      <c r="E171" s="3" t="str">
        <f>TRIM(CLEAN(PROPER(tblClean[[#This Row],[Category]])))</f>
        <v>Other</v>
      </c>
      <c r="F171" s="11" t="s">
        <v>356</v>
      </c>
      <c r="G171" s="2" t="s">
        <v>18</v>
      </c>
      <c r="H171" s="15">
        <f>MONTH(tblClean[[#This Row],[Date]])</f>
        <v>8</v>
      </c>
      <c r="I171" s="15">
        <f>YEAR(tblClean[[#This Row],[Date]])</f>
        <v>2020</v>
      </c>
    </row>
    <row r="172" spans="1:9" x14ac:dyDescent="0.25">
      <c r="A172" s="6">
        <v>44064</v>
      </c>
      <c r="B172" s="1" t="s">
        <v>357</v>
      </c>
      <c r="C172" s="3" t="str">
        <f>TRIM(CLEAN(PROPER(tblClean[[#This Row],[Transaction Description]])))</f>
        <v>Together Let.</v>
      </c>
      <c r="D172" s="1" t="s">
        <v>35</v>
      </c>
      <c r="E172" s="3" t="str">
        <f>TRIM(CLEAN(PROPER(tblClean[[#This Row],[Category]])))</f>
        <v>Health &amp; Fitness</v>
      </c>
      <c r="F172" s="10" t="s">
        <v>358</v>
      </c>
      <c r="G172" s="1" t="s">
        <v>8</v>
      </c>
      <c r="H172" s="15">
        <f>MONTH(tblClean[[#This Row],[Date]])</f>
        <v>8</v>
      </c>
      <c r="I172" s="15">
        <f>YEAR(tblClean[[#This Row],[Date]])</f>
        <v>2020</v>
      </c>
    </row>
    <row r="173" spans="1:9" x14ac:dyDescent="0.25">
      <c r="A173" s="7">
        <v>44064</v>
      </c>
      <c r="B173" s="2" t="s">
        <v>359</v>
      </c>
      <c r="C173" s="4" t="str">
        <f>TRIM(CLEAN(PROPER(tblClean[[#This Row],[Transaction Description]])))</f>
        <v>Citizen Kid Generation Onto Police.</v>
      </c>
      <c r="D173" s="2" t="s">
        <v>53</v>
      </c>
      <c r="E173" s="3" t="str">
        <f>TRIM(CLEAN(PROPER(tblClean[[#This Row],[Category]])))</f>
        <v>Travel</v>
      </c>
      <c r="F173" s="11" t="s">
        <v>360</v>
      </c>
      <c r="G173" s="2" t="s">
        <v>8</v>
      </c>
      <c r="H173" s="15">
        <f>MONTH(tblClean[[#This Row],[Date]])</f>
        <v>8</v>
      </c>
      <c r="I173" s="15">
        <f>YEAR(tblClean[[#This Row],[Date]])</f>
        <v>2020</v>
      </c>
    </row>
    <row r="174" spans="1:9" x14ac:dyDescent="0.25">
      <c r="A174" s="7">
        <v>44065</v>
      </c>
      <c r="B174" s="2" t="s">
        <v>363</v>
      </c>
      <c r="C174" s="4" t="str">
        <f>TRIM(CLEAN(PROPER(tblClean[[#This Row],[Transaction Description]])))</f>
        <v>Down Occur.</v>
      </c>
      <c r="D174" s="2" t="s">
        <v>6</v>
      </c>
      <c r="E174" s="3" t="str">
        <f>TRIM(CLEAN(PROPER(tblClean[[#This Row],[Category]])))</f>
        <v>Food &amp; Drink</v>
      </c>
      <c r="F174" s="11" t="s">
        <v>364</v>
      </c>
      <c r="G174" s="2" t="s">
        <v>8</v>
      </c>
      <c r="H174" s="15">
        <f>MONTH(tblClean[[#This Row],[Date]])</f>
        <v>8</v>
      </c>
      <c r="I174" s="15">
        <f>YEAR(tblClean[[#This Row],[Date]])</f>
        <v>2020</v>
      </c>
    </row>
    <row r="175" spans="1:9" x14ac:dyDescent="0.25">
      <c r="A175" s="6">
        <v>44065</v>
      </c>
      <c r="B175" s="1" t="s">
        <v>361</v>
      </c>
      <c r="C175" s="3" t="str">
        <f>TRIM(CLEAN(PROPER(tblClean[[#This Row],[Transaction Description]])))</f>
        <v>Lead Few Yourself.</v>
      </c>
      <c r="D175" s="1" t="s">
        <v>53</v>
      </c>
      <c r="E175" s="3" t="str">
        <f>TRIM(CLEAN(PROPER(tblClean[[#This Row],[Category]])))</f>
        <v>Travel</v>
      </c>
      <c r="F175" s="10" t="s">
        <v>362</v>
      </c>
      <c r="G175" s="1" t="s">
        <v>8</v>
      </c>
      <c r="H175" s="15">
        <f>MONTH(tblClean[[#This Row],[Date]])</f>
        <v>8</v>
      </c>
      <c r="I175" s="15">
        <f>YEAR(tblClean[[#This Row],[Date]])</f>
        <v>2020</v>
      </c>
    </row>
    <row r="176" spans="1:9" x14ac:dyDescent="0.25">
      <c r="A176" s="6">
        <v>44069</v>
      </c>
      <c r="B176" s="1" t="s">
        <v>365</v>
      </c>
      <c r="C176" s="3" t="str">
        <f>TRIM(CLEAN(PROPER(tblClean[[#This Row],[Transaction Description]])))</f>
        <v>Yeah Far Within.</v>
      </c>
      <c r="D176" s="1" t="s">
        <v>13</v>
      </c>
      <c r="E176" s="3" t="str">
        <f>TRIM(CLEAN(PROPER(tblClean[[#This Row],[Category]])))</f>
        <v>Rent</v>
      </c>
      <c r="F176" s="10" t="s">
        <v>366</v>
      </c>
      <c r="G176" s="1" t="s">
        <v>8</v>
      </c>
      <c r="H176" s="15">
        <f>MONTH(tblClean[[#This Row],[Date]])</f>
        <v>8</v>
      </c>
      <c r="I176" s="15">
        <f>YEAR(tblClean[[#This Row],[Date]])</f>
        <v>2020</v>
      </c>
    </row>
    <row r="177" spans="1:9" x14ac:dyDescent="0.25">
      <c r="A177" s="7">
        <v>44070</v>
      </c>
      <c r="B177" s="2" t="s">
        <v>367</v>
      </c>
      <c r="C177" s="4" t="str">
        <f>TRIM(CLEAN(PROPER(tblClean[[#This Row],[Transaction Description]])))</f>
        <v>Account Ten Sing.</v>
      </c>
      <c r="D177" s="2" t="s">
        <v>6</v>
      </c>
      <c r="E177" s="3" t="str">
        <f>TRIM(CLEAN(PROPER(tblClean[[#This Row],[Category]])))</f>
        <v>Food &amp; Drink</v>
      </c>
      <c r="F177" s="11" t="s">
        <v>368</v>
      </c>
      <c r="G177" s="2" t="s">
        <v>8</v>
      </c>
      <c r="H177" s="15">
        <f>MONTH(tblClean[[#This Row],[Date]])</f>
        <v>8</v>
      </c>
      <c r="I177" s="15">
        <f>YEAR(tblClean[[#This Row],[Date]])</f>
        <v>2020</v>
      </c>
    </row>
    <row r="178" spans="1:9" x14ac:dyDescent="0.25">
      <c r="A178" s="6">
        <v>44070</v>
      </c>
      <c r="B178" s="1" t="s">
        <v>369</v>
      </c>
      <c r="C178" s="3" t="str">
        <f>TRIM(CLEAN(PROPER(tblClean[[#This Row],[Transaction Description]])))</f>
        <v>Seat Strategy Total Simply Discover.</v>
      </c>
      <c r="D178" s="1" t="s">
        <v>16</v>
      </c>
      <c r="E178" s="3" t="str">
        <f>TRIM(CLEAN(PROPER(tblClean[[#This Row],[Category]])))</f>
        <v>Investment</v>
      </c>
      <c r="F178" s="10" t="s">
        <v>370</v>
      </c>
      <c r="G178" s="1" t="s">
        <v>18</v>
      </c>
      <c r="H178" s="15">
        <f>MONTH(tblClean[[#This Row],[Date]])</f>
        <v>8</v>
      </c>
      <c r="I178" s="15">
        <f>YEAR(tblClean[[#This Row],[Date]])</f>
        <v>2020</v>
      </c>
    </row>
    <row r="179" spans="1:9" x14ac:dyDescent="0.25">
      <c r="A179" s="7">
        <v>44072</v>
      </c>
      <c r="B179" s="2" t="s">
        <v>371</v>
      </c>
      <c r="C179" s="4" t="str">
        <f>TRIM(CLEAN(PROPER(tblClean[[#This Row],[Transaction Description]])))</f>
        <v>Pm Per Question.</v>
      </c>
      <c r="D179" s="2" t="s">
        <v>38</v>
      </c>
      <c r="E179" s="3" t="str">
        <f>TRIM(CLEAN(PROPER(tblClean[[#This Row],[Category]])))</f>
        <v>Salary</v>
      </c>
      <c r="F179" s="11" t="s">
        <v>372</v>
      </c>
      <c r="G179" s="2" t="s">
        <v>8</v>
      </c>
      <c r="H179" s="15">
        <f>MONTH(tblClean[[#This Row],[Date]])</f>
        <v>8</v>
      </c>
      <c r="I179" s="15">
        <f>YEAR(tblClean[[#This Row],[Date]])</f>
        <v>2020</v>
      </c>
    </row>
    <row r="180" spans="1:9" x14ac:dyDescent="0.25">
      <c r="A180" s="6">
        <v>44073</v>
      </c>
      <c r="B180" s="1" t="s">
        <v>373</v>
      </c>
      <c r="C180" s="3" t="str">
        <f>TRIM(CLEAN(PROPER(tblClean[[#This Row],[Transaction Description]])))</f>
        <v>Best Physical Always Small Almost.</v>
      </c>
      <c r="D180" s="1" t="s">
        <v>30</v>
      </c>
      <c r="E180" s="3" t="str">
        <f>TRIM(CLEAN(PROPER(tblClean[[#This Row],[Category]])))</f>
        <v>Entertainment</v>
      </c>
      <c r="F180" s="10" t="s">
        <v>374</v>
      </c>
      <c r="G180" s="1" t="s">
        <v>8</v>
      </c>
      <c r="H180" s="15">
        <f>MONTH(tblClean[[#This Row],[Date]])</f>
        <v>8</v>
      </c>
      <c r="I180" s="15">
        <f>YEAR(tblClean[[#This Row],[Date]])</f>
        <v>2020</v>
      </c>
    </row>
    <row r="181" spans="1:9" x14ac:dyDescent="0.25">
      <c r="A181" s="7">
        <v>44074</v>
      </c>
      <c r="B181" s="2" t="s">
        <v>375</v>
      </c>
      <c r="C181" s="4" t="str">
        <f>TRIM(CLEAN(PROPER(tblClean[[#This Row],[Transaction Description]])))</f>
        <v>Bed Far Section.</v>
      </c>
      <c r="D181" s="2" t="s">
        <v>35</v>
      </c>
      <c r="E181" s="3" t="str">
        <f>TRIM(CLEAN(PROPER(tblClean[[#This Row],[Category]])))</f>
        <v>Health &amp; Fitness</v>
      </c>
      <c r="F181" s="11" t="s">
        <v>376</v>
      </c>
      <c r="G181" s="2" t="s">
        <v>8</v>
      </c>
      <c r="H181" s="15">
        <f>MONTH(tblClean[[#This Row],[Date]])</f>
        <v>8</v>
      </c>
      <c r="I181" s="15">
        <f>YEAR(tblClean[[#This Row],[Date]])</f>
        <v>2020</v>
      </c>
    </row>
    <row r="182" spans="1:9" x14ac:dyDescent="0.25">
      <c r="A182" s="6">
        <v>44075</v>
      </c>
      <c r="B182" s="1" t="s">
        <v>377</v>
      </c>
      <c r="C182" s="3" t="str">
        <f>TRIM(CLEAN(PROPER(tblClean[[#This Row],[Transaction Description]])))</f>
        <v>Car Much Will.</v>
      </c>
      <c r="D182" s="1" t="s">
        <v>13</v>
      </c>
      <c r="E182" s="3" t="str">
        <f>TRIM(CLEAN(PROPER(tblClean[[#This Row],[Category]])))</f>
        <v>Rent</v>
      </c>
      <c r="F182" s="10" t="s">
        <v>378</v>
      </c>
      <c r="G182" s="1" t="s">
        <v>8</v>
      </c>
      <c r="H182" s="15">
        <f>MONTH(tblClean[[#This Row],[Date]])</f>
        <v>9</v>
      </c>
      <c r="I182" s="15">
        <f>YEAR(tblClean[[#This Row],[Date]])</f>
        <v>2020</v>
      </c>
    </row>
    <row r="183" spans="1:9" x14ac:dyDescent="0.25">
      <c r="A183" s="7">
        <v>44079</v>
      </c>
      <c r="B183" s="2" t="s">
        <v>379</v>
      </c>
      <c r="C183" s="4" t="str">
        <f>TRIM(CLEAN(PROPER(tblClean[[#This Row],[Transaction Description]])))</f>
        <v>Tree Store Either Station.</v>
      </c>
      <c r="D183" s="2" t="s">
        <v>27</v>
      </c>
      <c r="E183" s="3" t="str">
        <f>TRIM(CLEAN(PROPER(tblClean[[#This Row],[Category]])))</f>
        <v>Other</v>
      </c>
      <c r="F183" s="11" t="s">
        <v>380</v>
      </c>
      <c r="G183" s="2" t="s">
        <v>18</v>
      </c>
      <c r="H183" s="15">
        <f>MONTH(tblClean[[#This Row],[Date]])</f>
        <v>9</v>
      </c>
      <c r="I183" s="15">
        <f>YEAR(tblClean[[#This Row],[Date]])</f>
        <v>2020</v>
      </c>
    </row>
    <row r="184" spans="1:9" x14ac:dyDescent="0.25">
      <c r="A184" s="6">
        <v>44079</v>
      </c>
      <c r="B184" s="1" t="s">
        <v>381</v>
      </c>
      <c r="C184" s="3" t="str">
        <f>TRIM(CLEAN(PROPER(tblClean[[#This Row],[Transaction Description]])))</f>
        <v>Second Full Boy.</v>
      </c>
      <c r="D184" s="1" t="s">
        <v>53</v>
      </c>
      <c r="E184" s="3" t="str">
        <f>TRIM(CLEAN(PROPER(tblClean[[#This Row],[Category]])))</f>
        <v>Travel</v>
      </c>
      <c r="F184" s="10" t="s">
        <v>382</v>
      </c>
      <c r="G184" s="1" t="s">
        <v>8</v>
      </c>
      <c r="H184" s="15">
        <f>MONTH(tblClean[[#This Row],[Date]])</f>
        <v>9</v>
      </c>
      <c r="I184" s="15">
        <f>YEAR(tblClean[[#This Row],[Date]])</f>
        <v>2020</v>
      </c>
    </row>
    <row r="185" spans="1:9" x14ac:dyDescent="0.25">
      <c r="A185" s="7">
        <v>44080</v>
      </c>
      <c r="B185" s="2" t="s">
        <v>383</v>
      </c>
      <c r="C185" s="4" t="str">
        <f>TRIM(CLEAN(PROPER(tblClean[[#This Row],[Transaction Description]])))</f>
        <v>Senior Difficult Put.</v>
      </c>
      <c r="D185" s="2" t="s">
        <v>22</v>
      </c>
      <c r="E185" s="3" t="str">
        <f>TRIM(CLEAN(PROPER(tblClean[[#This Row],[Category]])))</f>
        <v>Shopping</v>
      </c>
      <c r="F185" s="11" t="s">
        <v>384</v>
      </c>
      <c r="G185" s="2" t="s">
        <v>8</v>
      </c>
      <c r="H185" s="15">
        <f>MONTH(tblClean[[#This Row],[Date]])</f>
        <v>9</v>
      </c>
      <c r="I185" s="15">
        <f>YEAR(tblClean[[#This Row],[Date]])</f>
        <v>2020</v>
      </c>
    </row>
    <row r="186" spans="1:9" x14ac:dyDescent="0.25">
      <c r="A186" s="6">
        <v>44081</v>
      </c>
      <c r="B186" s="1" t="s">
        <v>385</v>
      </c>
      <c r="C186" s="3" t="str">
        <f>TRIM(CLEAN(PROPER(tblClean[[#This Row],[Transaction Description]])))</f>
        <v>Hand So Add Mr Lawyer.</v>
      </c>
      <c r="D186" s="1" t="s">
        <v>13</v>
      </c>
      <c r="E186" s="3" t="str">
        <f>TRIM(CLEAN(PROPER(tblClean[[#This Row],[Category]])))</f>
        <v>Rent</v>
      </c>
      <c r="F186" s="10" t="s">
        <v>386</v>
      </c>
      <c r="G186" s="1" t="s">
        <v>8</v>
      </c>
      <c r="H186" s="15">
        <f>MONTH(tblClean[[#This Row],[Date]])</f>
        <v>9</v>
      </c>
      <c r="I186" s="15">
        <f>YEAR(tblClean[[#This Row],[Date]])</f>
        <v>2020</v>
      </c>
    </row>
    <row r="187" spans="1:9" x14ac:dyDescent="0.25">
      <c r="A187" s="7">
        <v>44082</v>
      </c>
      <c r="B187" s="2" t="s">
        <v>387</v>
      </c>
      <c r="C187" s="4" t="str">
        <f>TRIM(CLEAN(PROPER(tblClean[[#This Row],[Transaction Description]])))</f>
        <v>Herself Police He Push Likely.</v>
      </c>
      <c r="D187" s="2" t="s">
        <v>30</v>
      </c>
      <c r="E187" s="3" t="str">
        <f>TRIM(CLEAN(PROPER(tblClean[[#This Row],[Category]])))</f>
        <v>Entertainment</v>
      </c>
      <c r="F187" s="11" t="s">
        <v>388</v>
      </c>
      <c r="G187" s="2" t="s">
        <v>8</v>
      </c>
      <c r="H187" s="15">
        <f>MONTH(tblClean[[#This Row],[Date]])</f>
        <v>9</v>
      </c>
      <c r="I187" s="15">
        <f>YEAR(tblClean[[#This Row],[Date]])</f>
        <v>2020</v>
      </c>
    </row>
    <row r="188" spans="1:9" x14ac:dyDescent="0.25">
      <c r="A188" s="7">
        <v>44085</v>
      </c>
      <c r="B188" s="2" t="s">
        <v>391</v>
      </c>
      <c r="C188" s="4" t="str">
        <f>TRIM(CLEAN(PROPER(tblClean[[#This Row],[Transaction Description]])))</f>
        <v>Bring Animal Also You.</v>
      </c>
      <c r="D188" s="2" t="s">
        <v>6</v>
      </c>
      <c r="E188" s="3" t="str">
        <f>TRIM(CLEAN(PROPER(tblClean[[#This Row],[Category]])))</f>
        <v>Food &amp; Drink</v>
      </c>
      <c r="F188" s="11" t="s">
        <v>392</v>
      </c>
      <c r="G188" s="2" t="s">
        <v>8</v>
      </c>
      <c r="H188" s="15">
        <f>MONTH(tblClean[[#This Row],[Date]])</f>
        <v>9</v>
      </c>
      <c r="I188" s="15">
        <f>YEAR(tblClean[[#This Row],[Date]])</f>
        <v>2020</v>
      </c>
    </row>
    <row r="189" spans="1:9" x14ac:dyDescent="0.25">
      <c r="A189" s="6">
        <v>44085</v>
      </c>
      <c r="B189" s="1" t="s">
        <v>393</v>
      </c>
      <c r="C189" s="3" t="str">
        <f>TRIM(CLEAN(PROPER(tblClean[[#This Row],[Transaction Description]])))</f>
        <v>Doctor Mr.</v>
      </c>
      <c r="D189" s="1" t="s">
        <v>35</v>
      </c>
      <c r="E189" s="3" t="str">
        <f>TRIM(CLEAN(PROPER(tblClean[[#This Row],[Category]])))</f>
        <v>Health &amp; Fitness</v>
      </c>
      <c r="F189" s="10" t="s">
        <v>394</v>
      </c>
      <c r="G189" s="1" t="s">
        <v>8</v>
      </c>
      <c r="H189" s="15">
        <f>MONTH(tblClean[[#This Row],[Date]])</f>
        <v>9</v>
      </c>
      <c r="I189" s="15">
        <f>YEAR(tblClean[[#This Row],[Date]])</f>
        <v>2020</v>
      </c>
    </row>
    <row r="190" spans="1:9" x14ac:dyDescent="0.25">
      <c r="A190" s="6">
        <v>44085</v>
      </c>
      <c r="B190" s="1" t="s">
        <v>389</v>
      </c>
      <c r="C190" s="3" t="str">
        <f>TRIM(CLEAN(PROPER(tblClean[[#This Row],[Transaction Description]])))</f>
        <v>Trip Determine As Statement.</v>
      </c>
      <c r="D190" s="1" t="s">
        <v>13</v>
      </c>
      <c r="E190" s="3" t="str">
        <f>TRIM(CLEAN(PROPER(tblClean[[#This Row],[Category]])))</f>
        <v>Rent</v>
      </c>
      <c r="F190" s="10" t="s">
        <v>390</v>
      </c>
      <c r="G190" s="1" t="s">
        <v>8</v>
      </c>
      <c r="H190" s="15">
        <f>MONTH(tblClean[[#This Row],[Date]])</f>
        <v>9</v>
      </c>
      <c r="I190" s="15">
        <f>YEAR(tblClean[[#This Row],[Date]])</f>
        <v>2020</v>
      </c>
    </row>
    <row r="191" spans="1:9" x14ac:dyDescent="0.25">
      <c r="A191" s="7">
        <v>44090</v>
      </c>
      <c r="B191" s="2" t="s">
        <v>395</v>
      </c>
      <c r="C191" s="4" t="str">
        <f>TRIM(CLEAN(PROPER(tblClean[[#This Row],[Transaction Description]])))</f>
        <v>He We Recent Music.</v>
      </c>
      <c r="D191" s="2" t="s">
        <v>6</v>
      </c>
      <c r="E191" s="3" t="str">
        <f>TRIM(CLEAN(PROPER(tblClean[[#This Row],[Category]])))</f>
        <v>Food &amp; Drink</v>
      </c>
      <c r="F191" s="11" t="s">
        <v>396</v>
      </c>
      <c r="G191" s="2" t="s">
        <v>8</v>
      </c>
      <c r="H191" s="15">
        <f>MONTH(tblClean[[#This Row],[Date]])</f>
        <v>9</v>
      </c>
      <c r="I191" s="15">
        <f>YEAR(tblClean[[#This Row],[Date]])</f>
        <v>2020</v>
      </c>
    </row>
    <row r="192" spans="1:9" x14ac:dyDescent="0.25">
      <c r="A192" s="6">
        <v>44091</v>
      </c>
      <c r="B192" s="1" t="s">
        <v>397</v>
      </c>
      <c r="C192" s="3" t="str">
        <f>TRIM(CLEAN(PROPER(tblClean[[#This Row],[Transaction Description]])))</f>
        <v>Those Pressure Street.</v>
      </c>
      <c r="D192" s="1" t="s">
        <v>13</v>
      </c>
      <c r="E192" s="3" t="str">
        <f>TRIM(CLEAN(PROPER(tblClean[[#This Row],[Category]])))</f>
        <v>Rent</v>
      </c>
      <c r="F192" s="10" t="s">
        <v>398</v>
      </c>
      <c r="G192" s="1" t="s">
        <v>8</v>
      </c>
      <c r="H192" s="15">
        <f>MONTH(tblClean[[#This Row],[Date]])</f>
        <v>9</v>
      </c>
      <c r="I192" s="15">
        <f>YEAR(tblClean[[#This Row],[Date]])</f>
        <v>2020</v>
      </c>
    </row>
    <row r="193" spans="1:9" x14ac:dyDescent="0.25">
      <c r="A193" s="7">
        <v>44091</v>
      </c>
      <c r="B193" s="2" t="s">
        <v>399</v>
      </c>
      <c r="C193" s="4" t="str">
        <f>TRIM(CLEAN(PROPER(tblClean[[#This Row],[Transaction Description]])))</f>
        <v>Allow Have Kitchen.</v>
      </c>
      <c r="D193" s="2" t="s">
        <v>38</v>
      </c>
      <c r="E193" s="3" t="str">
        <f>TRIM(CLEAN(PROPER(tblClean[[#This Row],[Category]])))</f>
        <v>Salary</v>
      </c>
      <c r="F193" s="11" t="s">
        <v>400</v>
      </c>
      <c r="G193" s="2" t="s">
        <v>8</v>
      </c>
      <c r="H193" s="15">
        <f>MONTH(tblClean[[#This Row],[Date]])</f>
        <v>9</v>
      </c>
      <c r="I193" s="15">
        <f>YEAR(tblClean[[#This Row],[Date]])</f>
        <v>2020</v>
      </c>
    </row>
    <row r="194" spans="1:9" x14ac:dyDescent="0.25">
      <c r="A194" s="7">
        <v>44092</v>
      </c>
      <c r="B194" s="2" t="s">
        <v>403</v>
      </c>
      <c r="C194" s="4" t="str">
        <f>TRIM(CLEAN(PROPER(tblClean[[#This Row],[Transaction Description]])))</f>
        <v>Huge Couple.</v>
      </c>
      <c r="D194" s="2" t="s">
        <v>38</v>
      </c>
      <c r="E194" s="3" t="str">
        <f>TRIM(CLEAN(PROPER(tblClean[[#This Row],[Category]])))</f>
        <v>Salary</v>
      </c>
      <c r="F194" s="11" t="s">
        <v>404</v>
      </c>
      <c r="G194" s="2" t="s">
        <v>8</v>
      </c>
      <c r="H194" s="15">
        <f>MONTH(tblClean[[#This Row],[Date]])</f>
        <v>9</v>
      </c>
      <c r="I194" s="15">
        <f>YEAR(tblClean[[#This Row],[Date]])</f>
        <v>2020</v>
      </c>
    </row>
    <row r="195" spans="1:9" x14ac:dyDescent="0.25">
      <c r="A195" s="6">
        <v>44092</v>
      </c>
      <c r="B195" s="1" t="s">
        <v>401</v>
      </c>
      <c r="C195" s="3" t="str">
        <f>TRIM(CLEAN(PROPER(tblClean[[#This Row],[Transaction Description]])))</f>
        <v>Between Rate Name Within.</v>
      </c>
      <c r="D195" s="1" t="s">
        <v>53</v>
      </c>
      <c r="E195" s="3" t="str">
        <f>TRIM(CLEAN(PROPER(tblClean[[#This Row],[Category]])))</f>
        <v>Travel</v>
      </c>
      <c r="F195" s="10" t="s">
        <v>402</v>
      </c>
      <c r="G195" s="1" t="s">
        <v>8</v>
      </c>
      <c r="H195" s="15">
        <f>MONTH(tblClean[[#This Row],[Date]])</f>
        <v>9</v>
      </c>
      <c r="I195" s="15">
        <f>YEAR(tblClean[[#This Row],[Date]])</f>
        <v>2020</v>
      </c>
    </row>
    <row r="196" spans="1:9" x14ac:dyDescent="0.25">
      <c r="A196" s="7">
        <v>44096</v>
      </c>
      <c r="B196" s="2" t="s">
        <v>407</v>
      </c>
      <c r="C196" s="4" t="str">
        <f>TRIM(CLEAN(PROPER(tblClean[[#This Row],[Transaction Description]])))</f>
        <v>During Call North Attention.</v>
      </c>
      <c r="D196" s="2" t="s">
        <v>13</v>
      </c>
      <c r="E196" s="3" t="str">
        <f>TRIM(CLEAN(PROPER(tblClean[[#This Row],[Category]])))</f>
        <v>Rent</v>
      </c>
      <c r="F196" s="11" t="s">
        <v>408</v>
      </c>
      <c r="G196" s="2" t="s">
        <v>8</v>
      </c>
      <c r="H196" s="15">
        <f>MONTH(tblClean[[#This Row],[Date]])</f>
        <v>9</v>
      </c>
      <c r="I196" s="15">
        <f>YEAR(tblClean[[#This Row],[Date]])</f>
        <v>2020</v>
      </c>
    </row>
    <row r="197" spans="1:9" x14ac:dyDescent="0.25">
      <c r="A197" s="6">
        <v>44096</v>
      </c>
      <c r="B197" s="1" t="s">
        <v>409</v>
      </c>
      <c r="C197" s="3" t="str">
        <f>TRIM(CLEAN(PROPER(tblClean[[#This Row],[Transaction Description]])))</f>
        <v>Only Spend Do.</v>
      </c>
      <c r="D197" s="1" t="s">
        <v>38</v>
      </c>
      <c r="E197" s="3" t="str">
        <f>TRIM(CLEAN(PROPER(tblClean[[#This Row],[Category]])))</f>
        <v>Salary</v>
      </c>
      <c r="F197" s="10" t="s">
        <v>410</v>
      </c>
      <c r="G197" s="1" t="s">
        <v>8</v>
      </c>
      <c r="H197" s="15">
        <f>MONTH(tblClean[[#This Row],[Date]])</f>
        <v>9</v>
      </c>
      <c r="I197" s="15">
        <f>YEAR(tblClean[[#This Row],[Date]])</f>
        <v>2020</v>
      </c>
    </row>
    <row r="198" spans="1:9" x14ac:dyDescent="0.25">
      <c r="A198" s="6">
        <v>44096</v>
      </c>
      <c r="B198" s="1" t="s">
        <v>405</v>
      </c>
      <c r="C198" s="3" t="str">
        <f>TRIM(CLEAN(PROPER(tblClean[[#This Row],[Transaction Description]])))</f>
        <v>Begin Deep Police Wife.</v>
      </c>
      <c r="D198" s="1" t="s">
        <v>53</v>
      </c>
      <c r="E198" s="3" t="str">
        <f>TRIM(CLEAN(PROPER(tblClean[[#This Row],[Category]])))</f>
        <v>Travel</v>
      </c>
      <c r="F198" s="10" t="s">
        <v>406</v>
      </c>
      <c r="G198" s="1" t="s">
        <v>8</v>
      </c>
      <c r="H198" s="15">
        <f>MONTH(tblClean[[#This Row],[Date]])</f>
        <v>9</v>
      </c>
      <c r="I198" s="15">
        <f>YEAR(tblClean[[#This Row],[Date]])</f>
        <v>2020</v>
      </c>
    </row>
    <row r="199" spans="1:9" x14ac:dyDescent="0.25">
      <c r="A199" s="7">
        <v>44097</v>
      </c>
      <c r="B199" s="2" t="s">
        <v>411</v>
      </c>
      <c r="C199" s="4" t="str">
        <f>TRIM(CLEAN(PROPER(tblClean[[#This Row],[Transaction Description]])))</f>
        <v>Able Teach Certain Candidate Economy.</v>
      </c>
      <c r="D199" s="2" t="s">
        <v>35</v>
      </c>
      <c r="E199" s="3" t="str">
        <f>TRIM(CLEAN(PROPER(tblClean[[#This Row],[Category]])))</f>
        <v>Health &amp; Fitness</v>
      </c>
      <c r="F199" s="11" t="s">
        <v>412</v>
      </c>
      <c r="G199" s="2" t="s">
        <v>8</v>
      </c>
      <c r="H199" s="15">
        <f>MONTH(tblClean[[#This Row],[Date]])</f>
        <v>9</v>
      </c>
      <c r="I199" s="15">
        <f>YEAR(tblClean[[#This Row],[Date]])</f>
        <v>2020</v>
      </c>
    </row>
    <row r="200" spans="1:9" x14ac:dyDescent="0.25">
      <c r="A200" s="6">
        <v>44097</v>
      </c>
      <c r="B200" s="1" t="s">
        <v>413</v>
      </c>
      <c r="C200" s="3" t="str">
        <f>TRIM(CLEAN(PROPER(tblClean[[#This Row],[Transaction Description]])))</f>
        <v>Produce Ago.</v>
      </c>
      <c r="D200" s="1" t="s">
        <v>10</v>
      </c>
      <c r="E200" s="3" t="str">
        <f>TRIM(CLEAN(PROPER(tblClean[[#This Row],[Category]])))</f>
        <v>Utilities</v>
      </c>
      <c r="F200" s="10" t="s">
        <v>414</v>
      </c>
      <c r="G200" s="1" t="s">
        <v>8</v>
      </c>
      <c r="H200" s="15">
        <f>MONTH(tblClean[[#This Row],[Date]])</f>
        <v>9</v>
      </c>
      <c r="I200" s="15">
        <f>YEAR(tblClean[[#This Row],[Date]])</f>
        <v>2020</v>
      </c>
    </row>
    <row r="201" spans="1:9" x14ac:dyDescent="0.25">
      <c r="A201" s="7">
        <v>44099</v>
      </c>
      <c r="B201" s="2" t="s">
        <v>415</v>
      </c>
      <c r="C201" s="4" t="str">
        <f>TRIM(CLEAN(PROPER(tblClean[[#This Row],[Transaction Description]])))</f>
        <v>So Draw Food Company.</v>
      </c>
      <c r="D201" s="2" t="s">
        <v>53</v>
      </c>
      <c r="E201" s="3" t="str">
        <f>TRIM(CLEAN(PROPER(tblClean[[#This Row],[Category]])))</f>
        <v>Travel</v>
      </c>
      <c r="F201" s="11" t="s">
        <v>416</v>
      </c>
      <c r="G201" s="2" t="s">
        <v>8</v>
      </c>
      <c r="H201" s="15">
        <f>MONTH(tblClean[[#This Row],[Date]])</f>
        <v>9</v>
      </c>
      <c r="I201" s="15">
        <f>YEAR(tblClean[[#This Row],[Date]])</f>
        <v>2020</v>
      </c>
    </row>
    <row r="202" spans="1:9" x14ac:dyDescent="0.25">
      <c r="A202" s="7">
        <v>44101</v>
      </c>
      <c r="B202" s="2" t="s">
        <v>419</v>
      </c>
      <c r="C202" s="4" t="str">
        <f>TRIM(CLEAN(PROPER(tblClean[[#This Row],[Transaction Description]])))</f>
        <v>Sing Message Board Mean.</v>
      </c>
      <c r="D202" s="2" t="s">
        <v>30</v>
      </c>
      <c r="E202" s="3" t="str">
        <f>TRIM(CLEAN(PROPER(tblClean[[#This Row],[Category]])))</f>
        <v>Entertainment</v>
      </c>
      <c r="F202" s="11" t="s">
        <v>420</v>
      </c>
      <c r="G202" s="2" t="s">
        <v>8</v>
      </c>
      <c r="H202" s="15">
        <f>MONTH(tblClean[[#This Row],[Date]])</f>
        <v>9</v>
      </c>
      <c r="I202" s="15">
        <f>YEAR(tblClean[[#This Row],[Date]])</f>
        <v>2020</v>
      </c>
    </row>
    <row r="203" spans="1:9" x14ac:dyDescent="0.25">
      <c r="A203" s="6">
        <v>44101</v>
      </c>
      <c r="B203" s="1" t="s">
        <v>421</v>
      </c>
      <c r="C203" s="3" t="str">
        <f>TRIM(CLEAN(PROPER(tblClean[[#This Row],[Transaction Description]])))</f>
        <v>Feeling Poor All Your Suggest.</v>
      </c>
      <c r="D203" s="1" t="s">
        <v>38</v>
      </c>
      <c r="E203" s="3" t="str">
        <f>TRIM(CLEAN(PROPER(tblClean[[#This Row],[Category]])))</f>
        <v>Salary</v>
      </c>
      <c r="F203" s="10" t="s">
        <v>422</v>
      </c>
      <c r="G203" s="1" t="s">
        <v>8</v>
      </c>
      <c r="H203" s="15">
        <f>MONTH(tblClean[[#This Row],[Date]])</f>
        <v>9</v>
      </c>
      <c r="I203" s="15">
        <f>YEAR(tblClean[[#This Row],[Date]])</f>
        <v>2020</v>
      </c>
    </row>
    <row r="204" spans="1:9" x14ac:dyDescent="0.25">
      <c r="A204" s="6">
        <v>44101</v>
      </c>
      <c r="B204" s="1" t="s">
        <v>417</v>
      </c>
      <c r="C204" s="3" t="str">
        <f>TRIM(CLEAN(PROPER(tblClean[[#This Row],[Transaction Description]])))</f>
        <v>Score Moment Second.</v>
      </c>
      <c r="D204" s="1" t="s">
        <v>53</v>
      </c>
      <c r="E204" s="3" t="str">
        <f>TRIM(CLEAN(PROPER(tblClean[[#This Row],[Category]])))</f>
        <v>Travel</v>
      </c>
      <c r="F204" s="10" t="s">
        <v>418</v>
      </c>
      <c r="G204" s="1" t="s">
        <v>8</v>
      </c>
      <c r="H204" s="15">
        <f>MONTH(tblClean[[#This Row],[Date]])</f>
        <v>9</v>
      </c>
      <c r="I204" s="15">
        <f>YEAR(tblClean[[#This Row],[Date]])</f>
        <v>2020</v>
      </c>
    </row>
    <row r="205" spans="1:9" x14ac:dyDescent="0.25">
      <c r="A205" s="7">
        <v>44103</v>
      </c>
      <c r="B205" s="2" t="s">
        <v>423</v>
      </c>
      <c r="C205" s="4" t="str">
        <f>TRIM(CLEAN(PROPER(tblClean[[#This Row],[Transaction Description]])))</f>
        <v>Make Travel.</v>
      </c>
      <c r="D205" s="2" t="s">
        <v>38</v>
      </c>
      <c r="E205" s="3" t="str">
        <f>TRIM(CLEAN(PROPER(tblClean[[#This Row],[Category]])))</f>
        <v>Salary</v>
      </c>
      <c r="F205" s="11" t="s">
        <v>424</v>
      </c>
      <c r="G205" s="2" t="s">
        <v>8</v>
      </c>
      <c r="H205" s="15">
        <f>MONTH(tblClean[[#This Row],[Date]])</f>
        <v>9</v>
      </c>
      <c r="I205" s="15">
        <f>YEAR(tblClean[[#This Row],[Date]])</f>
        <v>2020</v>
      </c>
    </row>
    <row r="206" spans="1:9" x14ac:dyDescent="0.25">
      <c r="A206" s="6">
        <v>44104</v>
      </c>
      <c r="B206" s="1" t="s">
        <v>425</v>
      </c>
      <c r="C206" s="3" t="str">
        <f>TRIM(CLEAN(PROPER(tblClean[[#This Row],[Transaction Description]])))</f>
        <v>Focus Chance.</v>
      </c>
      <c r="D206" s="1" t="s">
        <v>6</v>
      </c>
      <c r="E206" s="3" t="str">
        <f>TRIM(CLEAN(PROPER(tblClean[[#This Row],[Category]])))</f>
        <v>Food &amp; Drink</v>
      </c>
      <c r="F206" s="10" t="s">
        <v>426</v>
      </c>
      <c r="G206" s="1" t="s">
        <v>8</v>
      </c>
      <c r="H206" s="15">
        <f>MONTH(tblClean[[#This Row],[Date]])</f>
        <v>9</v>
      </c>
      <c r="I206" s="15">
        <f>YEAR(tblClean[[#This Row],[Date]])</f>
        <v>2020</v>
      </c>
    </row>
    <row r="207" spans="1:9" x14ac:dyDescent="0.25">
      <c r="A207" s="7">
        <v>44105</v>
      </c>
      <c r="B207" s="2" t="s">
        <v>427</v>
      </c>
      <c r="C207" s="4" t="str">
        <f>TRIM(CLEAN(PROPER(tblClean[[#This Row],[Transaction Description]])))</f>
        <v>Person One Republican.</v>
      </c>
      <c r="D207" s="2" t="s">
        <v>30</v>
      </c>
      <c r="E207" s="3" t="str">
        <f>TRIM(CLEAN(PROPER(tblClean[[#This Row],[Category]])))</f>
        <v>Entertainment</v>
      </c>
      <c r="F207" s="11" t="s">
        <v>428</v>
      </c>
      <c r="G207" s="2" t="s">
        <v>8</v>
      </c>
      <c r="H207" s="15">
        <f>MONTH(tblClean[[#This Row],[Date]])</f>
        <v>10</v>
      </c>
      <c r="I207" s="15">
        <f>YEAR(tblClean[[#This Row],[Date]])</f>
        <v>2020</v>
      </c>
    </row>
    <row r="208" spans="1:9" x14ac:dyDescent="0.25">
      <c r="A208" s="6">
        <v>44107</v>
      </c>
      <c r="B208" s="1" t="s">
        <v>429</v>
      </c>
      <c r="C208" s="3" t="str">
        <f>TRIM(CLEAN(PROPER(tblClean[[#This Row],[Transaction Description]])))</f>
        <v>Most Law Painting Between Reduce.</v>
      </c>
      <c r="D208" s="1" t="s">
        <v>38</v>
      </c>
      <c r="E208" s="3" t="str">
        <f>TRIM(CLEAN(PROPER(tblClean[[#This Row],[Category]])))</f>
        <v>Salary</v>
      </c>
      <c r="F208" s="10" t="s">
        <v>430</v>
      </c>
      <c r="G208" s="1" t="s">
        <v>8</v>
      </c>
      <c r="H208" s="15">
        <f>MONTH(tblClean[[#This Row],[Date]])</f>
        <v>10</v>
      </c>
      <c r="I208" s="15">
        <f>YEAR(tblClean[[#This Row],[Date]])</f>
        <v>2020</v>
      </c>
    </row>
    <row r="209" spans="1:9" x14ac:dyDescent="0.25">
      <c r="A209" s="7">
        <v>44108</v>
      </c>
      <c r="B209" s="2" t="s">
        <v>431</v>
      </c>
      <c r="C209" s="4" t="str">
        <f>TRIM(CLEAN(PROPER(tblClean[[#This Row],[Transaction Description]])))</f>
        <v>Involve Thousand Including.</v>
      </c>
      <c r="D209" s="2" t="s">
        <v>35</v>
      </c>
      <c r="E209" s="3" t="str">
        <f>TRIM(CLEAN(PROPER(tblClean[[#This Row],[Category]])))</f>
        <v>Health &amp; Fitness</v>
      </c>
      <c r="F209" s="11" t="s">
        <v>432</v>
      </c>
      <c r="G209" s="2" t="s">
        <v>8</v>
      </c>
      <c r="H209" s="15">
        <f>MONTH(tblClean[[#This Row],[Date]])</f>
        <v>10</v>
      </c>
      <c r="I209" s="15">
        <f>YEAR(tblClean[[#This Row],[Date]])</f>
        <v>2020</v>
      </c>
    </row>
    <row r="210" spans="1:9" x14ac:dyDescent="0.25">
      <c r="A210" s="7">
        <v>44111</v>
      </c>
      <c r="B210" s="2" t="s">
        <v>435</v>
      </c>
      <c r="C210" s="4" t="str">
        <f>TRIM(CLEAN(PROPER(tblClean[[#This Row],[Transaction Description]])))</f>
        <v>Rather Listen Before.</v>
      </c>
      <c r="D210" s="2" t="s">
        <v>16</v>
      </c>
      <c r="E210" s="3" t="str">
        <f>TRIM(CLEAN(PROPER(tblClean[[#This Row],[Category]])))</f>
        <v>Investment</v>
      </c>
      <c r="F210" s="11" t="s">
        <v>436</v>
      </c>
      <c r="G210" s="2" t="s">
        <v>18</v>
      </c>
      <c r="H210" s="15">
        <f>MONTH(tblClean[[#This Row],[Date]])</f>
        <v>10</v>
      </c>
      <c r="I210" s="15">
        <f>YEAR(tblClean[[#This Row],[Date]])</f>
        <v>2020</v>
      </c>
    </row>
    <row r="211" spans="1:9" x14ac:dyDescent="0.25">
      <c r="A211" s="6">
        <v>44111</v>
      </c>
      <c r="B211" s="1" t="s">
        <v>437</v>
      </c>
      <c r="C211" s="3" t="str">
        <f>TRIM(CLEAN(PROPER(tblClean[[#This Row],[Transaction Description]])))</f>
        <v>It Season.</v>
      </c>
      <c r="D211" s="1" t="s">
        <v>16</v>
      </c>
      <c r="E211" s="3" t="str">
        <f>TRIM(CLEAN(PROPER(tblClean[[#This Row],[Category]])))</f>
        <v>Investment</v>
      </c>
      <c r="F211" s="10" t="s">
        <v>438</v>
      </c>
      <c r="G211" s="1" t="s">
        <v>18</v>
      </c>
      <c r="H211" s="15">
        <f>MONTH(tblClean[[#This Row],[Date]])</f>
        <v>10</v>
      </c>
      <c r="I211" s="15">
        <f>YEAR(tblClean[[#This Row],[Date]])</f>
        <v>2020</v>
      </c>
    </row>
    <row r="212" spans="1:9" x14ac:dyDescent="0.25">
      <c r="A212" s="6">
        <v>44111</v>
      </c>
      <c r="B212" s="1" t="s">
        <v>433</v>
      </c>
      <c r="C212" s="3" t="str">
        <f>TRIM(CLEAN(PROPER(tblClean[[#This Row],[Transaction Description]])))</f>
        <v>Indeed Believe Interview Professor.</v>
      </c>
      <c r="D212" s="1" t="s">
        <v>53</v>
      </c>
      <c r="E212" s="3" t="str">
        <f>TRIM(CLEAN(PROPER(tblClean[[#This Row],[Category]])))</f>
        <v>Travel</v>
      </c>
      <c r="F212" s="10" t="s">
        <v>434</v>
      </c>
      <c r="G212" s="1" t="s">
        <v>8</v>
      </c>
      <c r="H212" s="15">
        <f>MONTH(tblClean[[#This Row],[Date]])</f>
        <v>10</v>
      </c>
      <c r="I212" s="15">
        <f>YEAR(tblClean[[#This Row],[Date]])</f>
        <v>2020</v>
      </c>
    </row>
    <row r="213" spans="1:9" x14ac:dyDescent="0.25">
      <c r="A213" s="7">
        <v>44112</v>
      </c>
      <c r="B213" s="2" t="s">
        <v>439</v>
      </c>
      <c r="C213" s="4" t="str">
        <f>TRIM(CLEAN(PROPER(tblClean[[#This Row],[Transaction Description]])))</f>
        <v>News Only No.</v>
      </c>
      <c r="D213" s="2" t="s">
        <v>38</v>
      </c>
      <c r="E213" s="3" t="str">
        <f>TRIM(CLEAN(PROPER(tblClean[[#This Row],[Category]])))</f>
        <v>Salary</v>
      </c>
      <c r="F213" s="11" t="s">
        <v>440</v>
      </c>
      <c r="G213" s="2" t="s">
        <v>8</v>
      </c>
      <c r="H213" s="15">
        <f>MONTH(tblClean[[#This Row],[Date]])</f>
        <v>10</v>
      </c>
      <c r="I213" s="15">
        <f>YEAR(tblClean[[#This Row],[Date]])</f>
        <v>2020</v>
      </c>
    </row>
    <row r="214" spans="1:9" x14ac:dyDescent="0.25">
      <c r="A214" s="6">
        <v>44112</v>
      </c>
      <c r="B214" s="1" t="s">
        <v>441</v>
      </c>
      <c r="C214" s="3" t="str">
        <f>TRIM(CLEAN(PROPER(tblClean[[#This Row],[Transaction Description]])))</f>
        <v>Improve Them Wait.</v>
      </c>
      <c r="D214" s="1" t="s">
        <v>53</v>
      </c>
      <c r="E214" s="3" t="str">
        <f>TRIM(CLEAN(PROPER(tblClean[[#This Row],[Category]])))</f>
        <v>Travel</v>
      </c>
      <c r="F214" s="10" t="s">
        <v>442</v>
      </c>
      <c r="G214" s="1" t="s">
        <v>8</v>
      </c>
      <c r="H214" s="15">
        <f>MONTH(tblClean[[#This Row],[Date]])</f>
        <v>10</v>
      </c>
      <c r="I214" s="15">
        <f>YEAR(tblClean[[#This Row],[Date]])</f>
        <v>2020</v>
      </c>
    </row>
    <row r="215" spans="1:9" x14ac:dyDescent="0.25">
      <c r="A215" s="6">
        <v>44114</v>
      </c>
      <c r="B215" s="1" t="s">
        <v>445</v>
      </c>
      <c r="C215" s="3" t="str">
        <f>TRIM(CLEAN(PROPER(tblClean[[#This Row],[Transaction Description]])))</f>
        <v>Official Defense.</v>
      </c>
      <c r="D215" s="1" t="s">
        <v>16</v>
      </c>
      <c r="E215" s="3" t="str">
        <f>TRIM(CLEAN(PROPER(tblClean[[#This Row],[Category]])))</f>
        <v>Investment</v>
      </c>
      <c r="F215" s="10" t="s">
        <v>446</v>
      </c>
      <c r="G215" s="1" t="s">
        <v>18</v>
      </c>
      <c r="H215" s="15">
        <f>MONTH(tblClean[[#This Row],[Date]])</f>
        <v>10</v>
      </c>
      <c r="I215" s="15">
        <f>YEAR(tblClean[[#This Row],[Date]])</f>
        <v>2020</v>
      </c>
    </row>
    <row r="216" spans="1:9" x14ac:dyDescent="0.25">
      <c r="A216" s="7">
        <v>44114</v>
      </c>
      <c r="B216" s="2" t="s">
        <v>447</v>
      </c>
      <c r="C216" s="4" t="str">
        <f>TRIM(CLEAN(PROPER(tblClean[[#This Row],[Transaction Description]])))</f>
        <v>Suggest Glass News.</v>
      </c>
      <c r="D216" s="2" t="s">
        <v>16</v>
      </c>
      <c r="E216" s="3" t="str">
        <f>TRIM(CLEAN(PROPER(tblClean[[#This Row],[Category]])))</f>
        <v>Investment</v>
      </c>
      <c r="F216" s="11" t="s">
        <v>448</v>
      </c>
      <c r="G216" s="2" t="s">
        <v>18</v>
      </c>
      <c r="H216" s="15">
        <f>MONTH(tblClean[[#This Row],[Date]])</f>
        <v>10</v>
      </c>
      <c r="I216" s="15">
        <f>YEAR(tblClean[[#This Row],[Date]])</f>
        <v>2020</v>
      </c>
    </row>
    <row r="217" spans="1:9" x14ac:dyDescent="0.25">
      <c r="A217" s="7">
        <v>44114</v>
      </c>
      <c r="B217" s="2" t="s">
        <v>443</v>
      </c>
      <c r="C217" s="4" t="str">
        <f>TRIM(CLEAN(PROPER(tblClean[[#This Row],[Transaction Description]])))</f>
        <v>Why Outside.</v>
      </c>
      <c r="D217" s="2" t="s">
        <v>53</v>
      </c>
      <c r="E217" s="3" t="str">
        <f>TRIM(CLEAN(PROPER(tblClean[[#This Row],[Category]])))</f>
        <v>Travel</v>
      </c>
      <c r="F217" s="11" t="s">
        <v>444</v>
      </c>
      <c r="G217" s="2" t="s">
        <v>8</v>
      </c>
      <c r="H217" s="15">
        <f>MONTH(tblClean[[#This Row],[Date]])</f>
        <v>10</v>
      </c>
      <c r="I217" s="15">
        <f>YEAR(tblClean[[#This Row],[Date]])</f>
        <v>2020</v>
      </c>
    </row>
    <row r="218" spans="1:9" x14ac:dyDescent="0.25">
      <c r="A218" s="6">
        <v>44116</v>
      </c>
      <c r="B218" s="1" t="s">
        <v>449</v>
      </c>
      <c r="C218" s="3" t="str">
        <f>TRIM(CLEAN(PROPER(tblClean[[#This Row],[Transaction Description]])))</f>
        <v>Off Southern Suddenly.</v>
      </c>
      <c r="D218" s="1" t="s">
        <v>10</v>
      </c>
      <c r="E218" s="3" t="str">
        <f>TRIM(CLEAN(PROPER(tblClean[[#This Row],[Category]])))</f>
        <v>Utilities</v>
      </c>
      <c r="F218" s="10" t="s">
        <v>450</v>
      </c>
      <c r="G218" s="1" t="s">
        <v>8</v>
      </c>
      <c r="H218" s="15">
        <f>MONTH(tblClean[[#This Row],[Date]])</f>
        <v>10</v>
      </c>
      <c r="I218" s="15">
        <f>YEAR(tblClean[[#This Row],[Date]])</f>
        <v>2020</v>
      </c>
    </row>
    <row r="219" spans="1:9" x14ac:dyDescent="0.25">
      <c r="A219" s="7">
        <v>44118</v>
      </c>
      <c r="B219" s="2" t="s">
        <v>451</v>
      </c>
      <c r="C219" s="4" t="str">
        <f>TRIM(CLEAN(PROPER(tblClean[[#This Row],[Transaction Description]])))</f>
        <v>Participant Price.</v>
      </c>
      <c r="D219" s="2" t="s">
        <v>13</v>
      </c>
      <c r="E219" s="3" t="str">
        <f>TRIM(CLEAN(PROPER(tblClean[[#This Row],[Category]])))</f>
        <v>Rent</v>
      </c>
      <c r="F219" s="11" t="s">
        <v>452</v>
      </c>
      <c r="G219" s="2" t="s">
        <v>8</v>
      </c>
      <c r="H219" s="15">
        <f>MONTH(tblClean[[#This Row],[Date]])</f>
        <v>10</v>
      </c>
      <c r="I219" s="15">
        <f>YEAR(tblClean[[#This Row],[Date]])</f>
        <v>2020</v>
      </c>
    </row>
    <row r="220" spans="1:9" x14ac:dyDescent="0.25">
      <c r="A220" s="6">
        <v>44119</v>
      </c>
      <c r="B220" s="1" t="s">
        <v>453</v>
      </c>
      <c r="C220" s="3" t="str">
        <f>TRIM(CLEAN(PROPER(tblClean[[#This Row],[Transaction Description]])))</f>
        <v>Congress Reflect.</v>
      </c>
      <c r="D220" s="1" t="s">
        <v>38</v>
      </c>
      <c r="E220" s="3" t="str">
        <f>TRIM(CLEAN(PROPER(tblClean[[#This Row],[Category]])))</f>
        <v>Salary</v>
      </c>
      <c r="F220" s="10" t="s">
        <v>454</v>
      </c>
      <c r="G220" s="1" t="s">
        <v>8</v>
      </c>
      <c r="H220" s="15">
        <f>MONTH(tblClean[[#This Row],[Date]])</f>
        <v>10</v>
      </c>
      <c r="I220" s="15">
        <f>YEAR(tblClean[[#This Row],[Date]])</f>
        <v>2020</v>
      </c>
    </row>
    <row r="221" spans="1:9" x14ac:dyDescent="0.25">
      <c r="A221" s="7">
        <v>44120</v>
      </c>
      <c r="B221" s="2" t="s">
        <v>455</v>
      </c>
      <c r="C221" s="4" t="str">
        <f>TRIM(CLEAN(PROPER(tblClean[[#This Row],[Transaction Description]])))</f>
        <v>Go Consider Century Price.</v>
      </c>
      <c r="D221" s="2" t="s">
        <v>6</v>
      </c>
      <c r="E221" s="3" t="str">
        <f>TRIM(CLEAN(PROPER(tblClean[[#This Row],[Category]])))</f>
        <v>Food &amp; Drink</v>
      </c>
      <c r="F221" s="11" t="s">
        <v>456</v>
      </c>
      <c r="G221" s="2" t="s">
        <v>8</v>
      </c>
      <c r="H221" s="15">
        <f>MONTH(tblClean[[#This Row],[Date]])</f>
        <v>10</v>
      </c>
      <c r="I221" s="15">
        <f>YEAR(tblClean[[#This Row],[Date]])</f>
        <v>2020</v>
      </c>
    </row>
    <row r="222" spans="1:9" x14ac:dyDescent="0.25">
      <c r="A222" s="6">
        <v>44120</v>
      </c>
      <c r="B222" s="1" t="s">
        <v>457</v>
      </c>
      <c r="C222" s="3" t="str">
        <f>TRIM(CLEAN(PROPER(tblClean[[#This Row],[Transaction Description]])))</f>
        <v>Scientist Will Begin.</v>
      </c>
      <c r="D222" s="1" t="s">
        <v>13</v>
      </c>
      <c r="E222" s="3" t="str">
        <f>TRIM(CLEAN(PROPER(tblClean[[#This Row],[Category]])))</f>
        <v>Rent</v>
      </c>
      <c r="F222" s="10" t="s">
        <v>458</v>
      </c>
      <c r="G222" s="1" t="s">
        <v>8</v>
      </c>
      <c r="H222" s="15">
        <f>MONTH(tblClean[[#This Row],[Date]])</f>
        <v>10</v>
      </c>
      <c r="I222" s="15">
        <f>YEAR(tblClean[[#This Row],[Date]])</f>
        <v>2020</v>
      </c>
    </row>
    <row r="223" spans="1:9" x14ac:dyDescent="0.25">
      <c r="A223" s="7">
        <v>44120</v>
      </c>
      <c r="B223" s="2" t="s">
        <v>459</v>
      </c>
      <c r="C223" s="4" t="str">
        <f>TRIM(CLEAN(PROPER(tblClean[[#This Row],[Transaction Description]])))</f>
        <v>Heavy Law Church.</v>
      </c>
      <c r="D223" s="2" t="s">
        <v>13</v>
      </c>
      <c r="E223" s="3" t="str">
        <f>TRIM(CLEAN(PROPER(tblClean[[#This Row],[Category]])))</f>
        <v>Rent</v>
      </c>
      <c r="F223" s="11" t="s">
        <v>460</v>
      </c>
      <c r="G223" s="2" t="s">
        <v>8</v>
      </c>
      <c r="H223" s="15">
        <f>MONTH(tblClean[[#This Row],[Date]])</f>
        <v>10</v>
      </c>
      <c r="I223" s="15">
        <f>YEAR(tblClean[[#This Row],[Date]])</f>
        <v>2020</v>
      </c>
    </row>
    <row r="224" spans="1:9" x14ac:dyDescent="0.25">
      <c r="A224" s="6">
        <v>44122</v>
      </c>
      <c r="B224" s="1" t="s">
        <v>461</v>
      </c>
      <c r="C224" s="3" t="str">
        <f>TRIM(CLEAN(PROPER(tblClean[[#This Row],[Transaction Description]])))</f>
        <v>Since Nothing Be Apply.</v>
      </c>
      <c r="D224" s="1" t="s">
        <v>10</v>
      </c>
      <c r="E224" s="3" t="str">
        <f>TRIM(CLEAN(PROPER(tblClean[[#This Row],[Category]])))</f>
        <v>Utilities</v>
      </c>
      <c r="F224" s="10" t="s">
        <v>462</v>
      </c>
      <c r="G224" s="1" t="s">
        <v>8</v>
      </c>
      <c r="H224" s="15">
        <f>MONTH(tblClean[[#This Row],[Date]])</f>
        <v>10</v>
      </c>
      <c r="I224" s="15">
        <f>YEAR(tblClean[[#This Row],[Date]])</f>
        <v>2020</v>
      </c>
    </row>
    <row r="225" spans="1:9" x14ac:dyDescent="0.25">
      <c r="A225" s="7">
        <v>44123</v>
      </c>
      <c r="B225" s="2" t="s">
        <v>463</v>
      </c>
      <c r="C225" s="4" t="str">
        <f>TRIM(CLEAN(PROPER(tblClean[[#This Row],[Transaction Description]])))</f>
        <v>Anyone Bank Kitchen Interest Parent.</v>
      </c>
      <c r="D225" s="2" t="s">
        <v>53</v>
      </c>
      <c r="E225" s="3" t="str">
        <f>TRIM(CLEAN(PROPER(tblClean[[#This Row],[Category]])))</f>
        <v>Travel</v>
      </c>
      <c r="F225" s="11" t="s">
        <v>464</v>
      </c>
      <c r="G225" s="2" t="s">
        <v>8</v>
      </c>
      <c r="H225" s="15">
        <f>MONTH(tblClean[[#This Row],[Date]])</f>
        <v>10</v>
      </c>
      <c r="I225" s="15">
        <f>YEAR(tblClean[[#This Row],[Date]])</f>
        <v>2020</v>
      </c>
    </row>
    <row r="226" spans="1:9" x14ac:dyDescent="0.25">
      <c r="A226" s="6">
        <v>44127</v>
      </c>
      <c r="B226" s="1" t="s">
        <v>465</v>
      </c>
      <c r="C226" s="3" t="str">
        <f>TRIM(CLEAN(PROPER(tblClean[[#This Row],[Transaction Description]])))</f>
        <v>Democratic Mention Generation.</v>
      </c>
      <c r="D226" s="1" t="s">
        <v>22</v>
      </c>
      <c r="E226" s="3" t="str">
        <f>TRIM(CLEAN(PROPER(tblClean[[#This Row],[Category]])))</f>
        <v>Shopping</v>
      </c>
      <c r="F226" s="10" t="s">
        <v>466</v>
      </c>
      <c r="G226" s="1" t="s">
        <v>8</v>
      </c>
      <c r="H226" s="15">
        <f>MONTH(tblClean[[#This Row],[Date]])</f>
        <v>10</v>
      </c>
      <c r="I226" s="15">
        <f>YEAR(tblClean[[#This Row],[Date]])</f>
        <v>2020</v>
      </c>
    </row>
    <row r="227" spans="1:9" x14ac:dyDescent="0.25">
      <c r="A227" s="7">
        <v>44128</v>
      </c>
      <c r="B227" s="2" t="s">
        <v>467</v>
      </c>
      <c r="C227" s="4" t="str">
        <f>TRIM(CLEAN(PROPER(tblClean[[#This Row],[Transaction Description]])))</f>
        <v>Question Or Money.</v>
      </c>
      <c r="D227" s="2" t="s">
        <v>30</v>
      </c>
      <c r="E227" s="3" t="str">
        <f>TRIM(CLEAN(PROPER(tblClean[[#This Row],[Category]])))</f>
        <v>Entertainment</v>
      </c>
      <c r="F227" s="11" t="s">
        <v>468</v>
      </c>
      <c r="G227" s="2" t="s">
        <v>8</v>
      </c>
      <c r="H227" s="15">
        <f>MONTH(tblClean[[#This Row],[Date]])</f>
        <v>10</v>
      </c>
      <c r="I227" s="15">
        <f>YEAR(tblClean[[#This Row],[Date]])</f>
        <v>2020</v>
      </c>
    </row>
    <row r="228" spans="1:9" x14ac:dyDescent="0.25">
      <c r="A228" s="6">
        <v>44130</v>
      </c>
      <c r="B228" s="1" t="s">
        <v>469</v>
      </c>
      <c r="C228" s="3" t="str">
        <f>TRIM(CLEAN(PROPER(tblClean[[#This Row],[Transaction Description]])))</f>
        <v>Determine Worker.</v>
      </c>
      <c r="D228" s="1" t="s">
        <v>38</v>
      </c>
      <c r="E228" s="3" t="str">
        <f>TRIM(CLEAN(PROPER(tblClean[[#This Row],[Category]])))</f>
        <v>Salary</v>
      </c>
      <c r="F228" s="10" t="s">
        <v>470</v>
      </c>
      <c r="G228" s="1" t="s">
        <v>8</v>
      </c>
      <c r="H228" s="15">
        <f>MONTH(tblClean[[#This Row],[Date]])</f>
        <v>10</v>
      </c>
      <c r="I228" s="15">
        <f>YEAR(tblClean[[#This Row],[Date]])</f>
        <v>2020</v>
      </c>
    </row>
    <row r="229" spans="1:9" x14ac:dyDescent="0.25">
      <c r="A229" s="7">
        <v>44131</v>
      </c>
      <c r="B229" s="2" t="s">
        <v>475</v>
      </c>
      <c r="C229" s="4" t="str">
        <f>TRIM(CLEAN(PROPER(tblClean[[#This Row],[Transaction Description]])))</f>
        <v>Can Mouth Discover.</v>
      </c>
      <c r="D229" s="2" t="s">
        <v>30</v>
      </c>
      <c r="E229" s="3" t="str">
        <f>TRIM(CLEAN(PROPER(tblClean[[#This Row],[Category]])))</f>
        <v>Entertainment</v>
      </c>
      <c r="F229" s="11" t="s">
        <v>476</v>
      </c>
      <c r="G229" s="2" t="s">
        <v>8</v>
      </c>
      <c r="H229" s="15">
        <f>MONTH(tblClean[[#This Row],[Date]])</f>
        <v>10</v>
      </c>
      <c r="I229" s="15">
        <f>YEAR(tblClean[[#This Row],[Date]])</f>
        <v>2020</v>
      </c>
    </row>
    <row r="230" spans="1:9" x14ac:dyDescent="0.25">
      <c r="A230" s="6">
        <v>44131</v>
      </c>
      <c r="B230" s="1" t="s">
        <v>473</v>
      </c>
      <c r="C230" s="3" t="str">
        <f>TRIM(CLEAN(PROPER(tblClean[[#This Row],[Transaction Description]])))</f>
        <v>Face Build Market.</v>
      </c>
      <c r="D230" s="1" t="s">
        <v>13</v>
      </c>
      <c r="E230" s="3" t="str">
        <f>TRIM(CLEAN(PROPER(tblClean[[#This Row],[Category]])))</f>
        <v>Rent</v>
      </c>
      <c r="F230" s="10" t="s">
        <v>474</v>
      </c>
      <c r="G230" s="1" t="s">
        <v>8</v>
      </c>
      <c r="H230" s="15">
        <f>MONTH(tblClean[[#This Row],[Date]])</f>
        <v>10</v>
      </c>
      <c r="I230" s="15">
        <f>YEAR(tblClean[[#This Row],[Date]])</f>
        <v>2020</v>
      </c>
    </row>
    <row r="231" spans="1:9" x14ac:dyDescent="0.25">
      <c r="A231" s="7">
        <v>44131</v>
      </c>
      <c r="B231" s="2" t="s">
        <v>471</v>
      </c>
      <c r="C231" s="4" t="str">
        <f>TRIM(CLEAN(PROPER(tblClean[[#This Row],[Transaction Description]])))</f>
        <v>Daughter War.</v>
      </c>
      <c r="D231" s="2" t="s">
        <v>22</v>
      </c>
      <c r="E231" s="3" t="str">
        <f>TRIM(CLEAN(PROPER(tblClean[[#This Row],[Category]])))</f>
        <v>Shopping</v>
      </c>
      <c r="F231" s="11" t="s">
        <v>472</v>
      </c>
      <c r="G231" s="2" t="s">
        <v>8</v>
      </c>
      <c r="H231" s="15">
        <f>MONTH(tblClean[[#This Row],[Date]])</f>
        <v>10</v>
      </c>
      <c r="I231" s="15">
        <f>YEAR(tblClean[[#This Row],[Date]])</f>
        <v>2020</v>
      </c>
    </row>
    <row r="232" spans="1:9" x14ac:dyDescent="0.25">
      <c r="A232" s="6">
        <v>44132</v>
      </c>
      <c r="B232" s="1" t="s">
        <v>477</v>
      </c>
      <c r="C232" s="3" t="str">
        <f>TRIM(CLEAN(PROPER(tblClean[[#This Row],[Transaction Description]])))</f>
        <v>Author Technology Amount Affect.</v>
      </c>
      <c r="D232" s="1" t="s">
        <v>16</v>
      </c>
      <c r="E232" s="3" t="str">
        <f>TRIM(CLEAN(PROPER(tblClean[[#This Row],[Category]])))</f>
        <v>Investment</v>
      </c>
      <c r="F232" s="10" t="s">
        <v>478</v>
      </c>
      <c r="G232" s="1" t="s">
        <v>18</v>
      </c>
      <c r="H232" s="15">
        <f>MONTH(tblClean[[#This Row],[Date]])</f>
        <v>10</v>
      </c>
      <c r="I232" s="15">
        <f>YEAR(tblClean[[#This Row],[Date]])</f>
        <v>2020</v>
      </c>
    </row>
    <row r="233" spans="1:9" x14ac:dyDescent="0.25">
      <c r="A233" s="7">
        <v>44133</v>
      </c>
      <c r="B233" s="2" t="s">
        <v>479</v>
      </c>
      <c r="C233" s="4" t="str">
        <f>TRIM(CLEAN(PROPER(tblClean[[#This Row],[Transaction Description]])))</f>
        <v>Office Of Remember Individual.</v>
      </c>
      <c r="D233" s="2" t="s">
        <v>10</v>
      </c>
      <c r="E233" s="3" t="str">
        <f>TRIM(CLEAN(PROPER(tblClean[[#This Row],[Category]])))</f>
        <v>Utilities</v>
      </c>
      <c r="F233" s="11" t="s">
        <v>480</v>
      </c>
      <c r="G233" s="2" t="s">
        <v>8</v>
      </c>
      <c r="H233" s="15">
        <f>MONTH(tblClean[[#This Row],[Date]])</f>
        <v>10</v>
      </c>
      <c r="I233" s="15">
        <f>YEAR(tblClean[[#This Row],[Date]])</f>
        <v>2020</v>
      </c>
    </row>
    <row r="234" spans="1:9" x14ac:dyDescent="0.25">
      <c r="A234" s="6">
        <v>44134</v>
      </c>
      <c r="B234" s="1" t="s">
        <v>481</v>
      </c>
      <c r="C234" s="3" t="str">
        <f>TRIM(CLEAN(PROPER(tblClean[[#This Row],[Transaction Description]])))</f>
        <v>Again Foot Soon Peace.</v>
      </c>
      <c r="D234" s="1" t="s">
        <v>38</v>
      </c>
      <c r="E234" s="3" t="str">
        <f>TRIM(CLEAN(PROPER(tblClean[[#This Row],[Category]])))</f>
        <v>Salary</v>
      </c>
      <c r="F234" s="10" t="s">
        <v>482</v>
      </c>
      <c r="G234" s="1" t="s">
        <v>8</v>
      </c>
      <c r="H234" s="15">
        <f>MONTH(tblClean[[#This Row],[Date]])</f>
        <v>10</v>
      </c>
      <c r="I234" s="15">
        <f>YEAR(tblClean[[#This Row],[Date]])</f>
        <v>2020</v>
      </c>
    </row>
    <row r="235" spans="1:9" x14ac:dyDescent="0.25">
      <c r="A235" s="7">
        <v>44135</v>
      </c>
      <c r="B235" s="2" t="s">
        <v>483</v>
      </c>
      <c r="C235" s="4" t="str">
        <f>TRIM(CLEAN(PROPER(tblClean[[#This Row],[Transaction Description]])))</f>
        <v>Join Black.</v>
      </c>
      <c r="D235" s="2" t="s">
        <v>53</v>
      </c>
      <c r="E235" s="3" t="str">
        <f>TRIM(CLEAN(PROPER(tblClean[[#This Row],[Category]])))</f>
        <v>Travel</v>
      </c>
      <c r="F235" s="11" t="s">
        <v>484</v>
      </c>
      <c r="G235" s="2" t="s">
        <v>8</v>
      </c>
      <c r="H235" s="15">
        <f>MONTH(tblClean[[#This Row],[Date]])</f>
        <v>10</v>
      </c>
      <c r="I235" s="15">
        <f>YEAR(tblClean[[#This Row],[Date]])</f>
        <v>2020</v>
      </c>
    </row>
    <row r="236" spans="1:9" x14ac:dyDescent="0.25">
      <c r="A236" s="6">
        <v>44136</v>
      </c>
      <c r="B236" s="1" t="s">
        <v>485</v>
      </c>
      <c r="C236" s="3" t="str">
        <f>TRIM(CLEAN(PROPER(tblClean[[#This Row],[Transaction Description]])))</f>
        <v>Hundred Bad That Second Develop.</v>
      </c>
      <c r="D236" s="1" t="s">
        <v>30</v>
      </c>
      <c r="E236" s="3" t="str">
        <f>TRIM(CLEAN(PROPER(tblClean[[#This Row],[Category]])))</f>
        <v>Entertainment</v>
      </c>
      <c r="F236" s="10" t="s">
        <v>486</v>
      </c>
      <c r="G236" s="1" t="s">
        <v>8</v>
      </c>
      <c r="H236" s="15">
        <f>MONTH(tblClean[[#This Row],[Date]])</f>
        <v>11</v>
      </c>
      <c r="I236" s="15">
        <f>YEAR(tblClean[[#This Row],[Date]])</f>
        <v>2020</v>
      </c>
    </row>
    <row r="237" spans="1:9" x14ac:dyDescent="0.25">
      <c r="A237" s="7">
        <v>44136</v>
      </c>
      <c r="B237" s="2" t="s">
        <v>487</v>
      </c>
      <c r="C237" s="4" t="str">
        <f>TRIM(CLEAN(PROPER(tblClean[[#This Row],[Transaction Description]])))</f>
        <v>Member Box.</v>
      </c>
      <c r="D237" s="2" t="s">
        <v>30</v>
      </c>
      <c r="E237" s="3" t="str">
        <f>TRIM(CLEAN(PROPER(tblClean[[#This Row],[Category]])))</f>
        <v>Entertainment</v>
      </c>
      <c r="F237" s="11" t="s">
        <v>488</v>
      </c>
      <c r="G237" s="2" t="s">
        <v>8</v>
      </c>
      <c r="H237" s="15">
        <f>MONTH(tblClean[[#This Row],[Date]])</f>
        <v>11</v>
      </c>
      <c r="I237" s="15">
        <f>YEAR(tblClean[[#This Row],[Date]])</f>
        <v>2020</v>
      </c>
    </row>
    <row r="238" spans="1:9" x14ac:dyDescent="0.25">
      <c r="A238" s="6">
        <v>44137</v>
      </c>
      <c r="B238" s="1" t="s">
        <v>489</v>
      </c>
      <c r="C238" s="3" t="str">
        <f>TRIM(CLEAN(PROPER(tblClean[[#This Row],[Transaction Description]])))</f>
        <v>Town Glass Road.</v>
      </c>
      <c r="D238" s="1" t="s">
        <v>10</v>
      </c>
      <c r="E238" s="3" t="str">
        <f>TRIM(CLEAN(PROPER(tblClean[[#This Row],[Category]])))</f>
        <v>Utilities</v>
      </c>
      <c r="F238" s="10" t="s">
        <v>490</v>
      </c>
      <c r="G238" s="1" t="s">
        <v>8</v>
      </c>
      <c r="H238" s="15">
        <f>MONTH(tblClean[[#This Row],[Date]])</f>
        <v>11</v>
      </c>
      <c r="I238" s="15">
        <f>YEAR(tblClean[[#This Row],[Date]])</f>
        <v>2020</v>
      </c>
    </row>
    <row r="239" spans="1:9" x14ac:dyDescent="0.25">
      <c r="A239" s="7">
        <v>44139</v>
      </c>
      <c r="B239" s="2" t="s">
        <v>491</v>
      </c>
      <c r="C239" s="4" t="str">
        <f>TRIM(CLEAN(PROPER(tblClean[[#This Row],[Transaction Description]])))</f>
        <v>Bill Eight Community.</v>
      </c>
      <c r="D239" s="2" t="s">
        <v>13</v>
      </c>
      <c r="E239" s="3" t="str">
        <f>TRIM(CLEAN(PROPER(tblClean[[#This Row],[Category]])))</f>
        <v>Rent</v>
      </c>
      <c r="F239" s="11" t="s">
        <v>492</v>
      </c>
      <c r="G239" s="2" t="s">
        <v>8</v>
      </c>
      <c r="H239" s="15">
        <f>MONTH(tblClean[[#This Row],[Date]])</f>
        <v>11</v>
      </c>
      <c r="I239" s="15">
        <f>YEAR(tblClean[[#This Row],[Date]])</f>
        <v>2020</v>
      </c>
    </row>
    <row r="240" spans="1:9" x14ac:dyDescent="0.25">
      <c r="A240" s="6">
        <v>44141</v>
      </c>
      <c r="B240" s="1" t="s">
        <v>493</v>
      </c>
      <c r="C240" s="3" t="str">
        <f>TRIM(CLEAN(PROPER(tblClean[[#This Row],[Transaction Description]])))</f>
        <v>Concern Significant.</v>
      </c>
      <c r="D240" s="1" t="s">
        <v>53</v>
      </c>
      <c r="E240" s="3" t="str">
        <f>TRIM(CLEAN(PROPER(tblClean[[#This Row],[Category]])))</f>
        <v>Travel</v>
      </c>
      <c r="F240" s="10" t="s">
        <v>494</v>
      </c>
      <c r="G240" s="1" t="s">
        <v>8</v>
      </c>
      <c r="H240" s="15">
        <f>MONTH(tblClean[[#This Row],[Date]])</f>
        <v>11</v>
      </c>
      <c r="I240" s="15">
        <f>YEAR(tblClean[[#This Row],[Date]])</f>
        <v>2020</v>
      </c>
    </row>
    <row r="241" spans="1:9" x14ac:dyDescent="0.25">
      <c r="A241" s="7">
        <v>44142</v>
      </c>
      <c r="B241" s="2" t="s">
        <v>495</v>
      </c>
      <c r="C241" s="4" t="str">
        <f>TRIM(CLEAN(PROPER(tblClean[[#This Row],[Transaction Description]])))</f>
        <v>Senior Service Large Under.</v>
      </c>
      <c r="D241" s="2" t="s">
        <v>53</v>
      </c>
      <c r="E241" s="3" t="str">
        <f>TRIM(CLEAN(PROPER(tblClean[[#This Row],[Category]])))</f>
        <v>Travel</v>
      </c>
      <c r="F241" s="11" t="s">
        <v>496</v>
      </c>
      <c r="G241" s="2" t="s">
        <v>8</v>
      </c>
      <c r="H241" s="15">
        <f>MONTH(tblClean[[#This Row],[Date]])</f>
        <v>11</v>
      </c>
      <c r="I241" s="15">
        <f>YEAR(tblClean[[#This Row],[Date]])</f>
        <v>2020</v>
      </c>
    </row>
    <row r="242" spans="1:9" x14ac:dyDescent="0.25">
      <c r="A242" s="6">
        <v>44144</v>
      </c>
      <c r="B242" s="1" t="s">
        <v>497</v>
      </c>
      <c r="C242" s="3" t="str">
        <f>TRIM(CLEAN(PROPER(tblClean[[#This Row],[Transaction Description]])))</f>
        <v>Follow Wife Firm Key Light.</v>
      </c>
      <c r="D242" s="1" t="s">
        <v>38</v>
      </c>
      <c r="E242" s="3" t="str">
        <f>TRIM(CLEAN(PROPER(tblClean[[#This Row],[Category]])))</f>
        <v>Salary</v>
      </c>
      <c r="F242" s="10" t="s">
        <v>498</v>
      </c>
      <c r="G242" s="1" t="s">
        <v>8</v>
      </c>
      <c r="H242" s="15">
        <f>MONTH(tblClean[[#This Row],[Date]])</f>
        <v>11</v>
      </c>
      <c r="I242" s="15">
        <f>YEAR(tblClean[[#This Row],[Date]])</f>
        <v>2020</v>
      </c>
    </row>
    <row r="243" spans="1:9" x14ac:dyDescent="0.25">
      <c r="A243" s="6">
        <v>44145</v>
      </c>
      <c r="B243" s="1" t="s">
        <v>501</v>
      </c>
      <c r="C243" s="3" t="str">
        <f>TRIM(CLEAN(PROPER(tblClean[[#This Row],[Transaction Description]])))</f>
        <v>Also Hard Expert Popular.</v>
      </c>
      <c r="D243" s="1" t="s">
        <v>6</v>
      </c>
      <c r="E243" s="3" t="str">
        <f>TRIM(CLEAN(PROPER(tblClean[[#This Row],[Category]])))</f>
        <v>Food &amp; Drink</v>
      </c>
      <c r="F243" s="10" t="s">
        <v>502</v>
      </c>
      <c r="G243" s="1" t="s">
        <v>8</v>
      </c>
      <c r="H243" s="15">
        <f>MONTH(tblClean[[#This Row],[Date]])</f>
        <v>11</v>
      </c>
      <c r="I243" s="15">
        <f>YEAR(tblClean[[#This Row],[Date]])</f>
        <v>2020</v>
      </c>
    </row>
    <row r="244" spans="1:9" x14ac:dyDescent="0.25">
      <c r="A244" s="7">
        <v>44145</v>
      </c>
      <c r="B244" s="2" t="s">
        <v>499</v>
      </c>
      <c r="C244" s="4" t="str">
        <f>TRIM(CLEAN(PROPER(tblClean[[#This Row],[Transaction Description]])))</f>
        <v>Option Goal Avoid.</v>
      </c>
      <c r="D244" s="2" t="s">
        <v>22</v>
      </c>
      <c r="E244" s="3" t="str">
        <f>TRIM(CLEAN(PROPER(tblClean[[#This Row],[Category]])))</f>
        <v>Shopping</v>
      </c>
      <c r="F244" s="11" t="s">
        <v>500</v>
      </c>
      <c r="G244" s="2" t="s">
        <v>8</v>
      </c>
      <c r="H244" s="15">
        <f>MONTH(tblClean[[#This Row],[Date]])</f>
        <v>11</v>
      </c>
      <c r="I244" s="15">
        <f>YEAR(tblClean[[#This Row],[Date]])</f>
        <v>2020</v>
      </c>
    </row>
    <row r="245" spans="1:9" x14ac:dyDescent="0.25">
      <c r="A245" s="7">
        <v>44147</v>
      </c>
      <c r="B245" s="2" t="s">
        <v>503</v>
      </c>
      <c r="C245" s="4" t="str">
        <f>TRIM(CLEAN(PROPER(tblClean[[#This Row],[Transaction Description]])))</f>
        <v>Order His Oil West School.</v>
      </c>
      <c r="D245" s="2" t="s">
        <v>6</v>
      </c>
      <c r="E245" s="3" t="str">
        <f>TRIM(CLEAN(PROPER(tblClean[[#This Row],[Category]])))</f>
        <v>Food &amp; Drink</v>
      </c>
      <c r="F245" s="11" t="s">
        <v>504</v>
      </c>
      <c r="G245" s="2" t="s">
        <v>8</v>
      </c>
      <c r="H245" s="15">
        <f>MONTH(tblClean[[#This Row],[Date]])</f>
        <v>11</v>
      </c>
      <c r="I245" s="15">
        <f>YEAR(tblClean[[#This Row],[Date]])</f>
        <v>2020</v>
      </c>
    </row>
    <row r="246" spans="1:9" x14ac:dyDescent="0.25">
      <c r="A246" s="6">
        <v>44147</v>
      </c>
      <c r="B246" s="1" t="s">
        <v>505</v>
      </c>
      <c r="C246" s="3" t="str">
        <f>TRIM(CLEAN(PROPER(tblClean[[#This Row],[Transaction Description]])))</f>
        <v>Training Occur Could Painting.</v>
      </c>
      <c r="D246" s="1" t="s">
        <v>53</v>
      </c>
      <c r="E246" s="3" t="str">
        <f>TRIM(CLEAN(PROPER(tblClean[[#This Row],[Category]])))</f>
        <v>Travel</v>
      </c>
      <c r="F246" s="10" t="s">
        <v>506</v>
      </c>
      <c r="G246" s="1" t="s">
        <v>8</v>
      </c>
      <c r="H246" s="15">
        <f>MONTH(tblClean[[#This Row],[Date]])</f>
        <v>11</v>
      </c>
      <c r="I246" s="15">
        <f>YEAR(tblClean[[#This Row],[Date]])</f>
        <v>2020</v>
      </c>
    </row>
    <row r="247" spans="1:9" x14ac:dyDescent="0.25">
      <c r="A247" s="7">
        <v>44149</v>
      </c>
      <c r="B247" s="2" t="s">
        <v>511</v>
      </c>
      <c r="C247" s="4" t="str">
        <f>TRIM(CLEAN(PROPER(tblClean[[#This Row],[Transaction Description]])))</f>
        <v>Yard Model Particular Hair.</v>
      </c>
      <c r="D247" s="2" t="s">
        <v>38</v>
      </c>
      <c r="E247" s="3" t="str">
        <f>TRIM(CLEAN(PROPER(tblClean[[#This Row],[Category]])))</f>
        <v>Salary</v>
      </c>
      <c r="F247" s="11" t="s">
        <v>512</v>
      </c>
      <c r="G247" s="2" t="s">
        <v>8</v>
      </c>
      <c r="H247" s="15">
        <f>MONTH(tblClean[[#This Row],[Date]])</f>
        <v>11</v>
      </c>
      <c r="I247" s="15">
        <f>YEAR(tblClean[[#This Row],[Date]])</f>
        <v>2020</v>
      </c>
    </row>
    <row r="248" spans="1:9" x14ac:dyDescent="0.25">
      <c r="A248" s="6">
        <v>44149</v>
      </c>
      <c r="B248" s="1" t="s">
        <v>513</v>
      </c>
      <c r="C248" s="3" t="str">
        <f>TRIM(CLEAN(PROPER(tblClean[[#This Row],[Transaction Description]])))</f>
        <v>Impact Full Our Smile.</v>
      </c>
      <c r="D248" s="1" t="s">
        <v>22</v>
      </c>
      <c r="E248" s="3" t="str">
        <f>TRIM(CLEAN(PROPER(tblClean[[#This Row],[Category]])))</f>
        <v>Shopping</v>
      </c>
      <c r="F248" s="10" t="s">
        <v>514</v>
      </c>
      <c r="G248" s="1" t="s">
        <v>8</v>
      </c>
      <c r="H248" s="15">
        <f>MONTH(tblClean[[#This Row],[Date]])</f>
        <v>11</v>
      </c>
      <c r="I248" s="15">
        <f>YEAR(tblClean[[#This Row],[Date]])</f>
        <v>2020</v>
      </c>
    </row>
    <row r="249" spans="1:9" x14ac:dyDescent="0.25">
      <c r="A249" s="6">
        <v>44149</v>
      </c>
      <c r="B249" s="1" t="s">
        <v>509</v>
      </c>
      <c r="C249" s="3" t="str">
        <f>TRIM(CLEAN(PROPER(tblClean[[#This Row],[Transaction Description]])))</f>
        <v>Mean Common.</v>
      </c>
      <c r="D249" s="1" t="s">
        <v>53</v>
      </c>
      <c r="E249" s="3" t="str">
        <f>TRIM(CLEAN(PROPER(tblClean[[#This Row],[Category]])))</f>
        <v>Travel</v>
      </c>
      <c r="F249" s="10" t="s">
        <v>510</v>
      </c>
      <c r="G249" s="1" t="s">
        <v>8</v>
      </c>
      <c r="H249" s="15">
        <f>MONTH(tblClean[[#This Row],[Date]])</f>
        <v>11</v>
      </c>
      <c r="I249" s="15">
        <f>YEAR(tblClean[[#This Row],[Date]])</f>
        <v>2020</v>
      </c>
    </row>
    <row r="250" spans="1:9" x14ac:dyDescent="0.25">
      <c r="A250" s="7">
        <v>44149</v>
      </c>
      <c r="B250" s="2" t="s">
        <v>507</v>
      </c>
      <c r="C250" s="4" t="str">
        <f>TRIM(CLEAN(PROPER(tblClean[[#This Row],[Transaction Description]])))</f>
        <v>Whatever Late Specific.</v>
      </c>
      <c r="D250" s="2" t="s">
        <v>10</v>
      </c>
      <c r="E250" s="3" t="str">
        <f>TRIM(CLEAN(PROPER(tblClean[[#This Row],[Category]])))</f>
        <v>Utilities</v>
      </c>
      <c r="F250" s="11" t="s">
        <v>508</v>
      </c>
      <c r="G250" s="2" t="s">
        <v>8</v>
      </c>
      <c r="H250" s="15">
        <f>MONTH(tblClean[[#This Row],[Date]])</f>
        <v>11</v>
      </c>
      <c r="I250" s="15">
        <f>YEAR(tblClean[[#This Row],[Date]])</f>
        <v>2020</v>
      </c>
    </row>
    <row r="251" spans="1:9" x14ac:dyDescent="0.25">
      <c r="A251" s="6">
        <v>44150</v>
      </c>
      <c r="B251" s="1" t="s">
        <v>517</v>
      </c>
      <c r="C251" s="3" t="str">
        <f>TRIM(CLEAN(PROPER(tblClean[[#This Row],[Transaction Description]])))</f>
        <v>Edge Surface Who.</v>
      </c>
      <c r="D251" s="1" t="s">
        <v>53</v>
      </c>
      <c r="E251" s="3" t="str">
        <f>TRIM(CLEAN(PROPER(tblClean[[#This Row],[Category]])))</f>
        <v>Travel</v>
      </c>
      <c r="F251" s="10" t="s">
        <v>518</v>
      </c>
      <c r="G251" s="1" t="s">
        <v>8</v>
      </c>
      <c r="H251" s="15">
        <f>MONTH(tblClean[[#This Row],[Date]])</f>
        <v>11</v>
      </c>
      <c r="I251" s="15">
        <f>YEAR(tblClean[[#This Row],[Date]])</f>
        <v>2020</v>
      </c>
    </row>
    <row r="252" spans="1:9" x14ac:dyDescent="0.25">
      <c r="A252" s="7">
        <v>44150</v>
      </c>
      <c r="B252" s="2" t="s">
        <v>515</v>
      </c>
      <c r="C252" s="4" t="str">
        <f>TRIM(CLEAN(PROPER(tblClean[[#This Row],[Transaction Description]])))</f>
        <v>Form Newspaper.</v>
      </c>
      <c r="D252" s="2" t="s">
        <v>10</v>
      </c>
      <c r="E252" s="3" t="str">
        <f>TRIM(CLEAN(PROPER(tblClean[[#This Row],[Category]])))</f>
        <v>Utilities</v>
      </c>
      <c r="F252" s="11" t="s">
        <v>516</v>
      </c>
      <c r="G252" s="2" t="s">
        <v>8</v>
      </c>
      <c r="H252" s="15">
        <f>MONTH(tblClean[[#This Row],[Date]])</f>
        <v>11</v>
      </c>
      <c r="I252" s="15">
        <f>YEAR(tblClean[[#This Row],[Date]])</f>
        <v>2020</v>
      </c>
    </row>
    <row r="253" spans="1:9" x14ac:dyDescent="0.25">
      <c r="A253" s="7">
        <v>44151</v>
      </c>
      <c r="B253" s="2" t="s">
        <v>519</v>
      </c>
      <c r="C253" s="4" t="str">
        <f>TRIM(CLEAN(PROPER(tblClean[[#This Row],[Transaction Description]])))</f>
        <v>Bank Professional True Financial.</v>
      </c>
      <c r="D253" s="2" t="s">
        <v>6</v>
      </c>
      <c r="E253" s="3" t="str">
        <f>TRIM(CLEAN(PROPER(tblClean[[#This Row],[Category]])))</f>
        <v>Food &amp; Drink</v>
      </c>
      <c r="F253" s="11" t="s">
        <v>520</v>
      </c>
      <c r="G253" s="2" t="s">
        <v>8</v>
      </c>
      <c r="H253" s="15">
        <f>MONTH(tblClean[[#This Row],[Date]])</f>
        <v>11</v>
      </c>
      <c r="I253" s="15">
        <f>YEAR(tblClean[[#This Row],[Date]])</f>
        <v>2020</v>
      </c>
    </row>
    <row r="254" spans="1:9" x14ac:dyDescent="0.25">
      <c r="A254" s="6">
        <v>44151</v>
      </c>
      <c r="B254" s="1" t="s">
        <v>521</v>
      </c>
      <c r="C254" s="3" t="str">
        <f>TRIM(CLEAN(PROPER(tblClean[[#This Row],[Transaction Description]])))</f>
        <v>Organization Visit Finally.</v>
      </c>
      <c r="D254" s="1" t="s">
        <v>35</v>
      </c>
      <c r="E254" s="3" t="str">
        <f>TRIM(CLEAN(PROPER(tblClean[[#This Row],[Category]])))</f>
        <v>Health &amp; Fitness</v>
      </c>
      <c r="F254" s="10" t="s">
        <v>522</v>
      </c>
      <c r="G254" s="1" t="s">
        <v>8</v>
      </c>
      <c r="H254" s="15">
        <f>MONTH(tblClean[[#This Row],[Date]])</f>
        <v>11</v>
      </c>
      <c r="I254" s="15">
        <f>YEAR(tblClean[[#This Row],[Date]])</f>
        <v>2020</v>
      </c>
    </row>
    <row r="255" spans="1:9" x14ac:dyDescent="0.25">
      <c r="A255" s="7">
        <v>44152</v>
      </c>
      <c r="B255" s="2" t="s">
        <v>523</v>
      </c>
      <c r="C255" s="4" t="str">
        <f>TRIM(CLEAN(PROPER(tblClean[[#This Row],[Transaction Description]])))</f>
        <v>Spend Prove Stock School.</v>
      </c>
      <c r="D255" s="2" t="s">
        <v>6</v>
      </c>
      <c r="E255" s="3" t="str">
        <f>TRIM(CLEAN(PROPER(tblClean[[#This Row],[Category]])))</f>
        <v>Food &amp; Drink</v>
      </c>
      <c r="F255" s="11" t="s">
        <v>524</v>
      </c>
      <c r="G255" s="2" t="s">
        <v>8</v>
      </c>
      <c r="H255" s="15">
        <f>MONTH(tblClean[[#This Row],[Date]])</f>
        <v>11</v>
      </c>
      <c r="I255" s="15">
        <f>YEAR(tblClean[[#This Row],[Date]])</f>
        <v>2020</v>
      </c>
    </row>
    <row r="256" spans="1:9" x14ac:dyDescent="0.25">
      <c r="A256" s="6">
        <v>44155</v>
      </c>
      <c r="B256" s="1" t="s">
        <v>525</v>
      </c>
      <c r="C256" s="3" t="str">
        <f>TRIM(CLEAN(PROPER(tblClean[[#This Row],[Transaction Description]])))</f>
        <v>Position Interest.</v>
      </c>
      <c r="D256" s="1" t="s">
        <v>22</v>
      </c>
      <c r="E256" s="3" t="str">
        <f>TRIM(CLEAN(PROPER(tblClean[[#This Row],[Category]])))</f>
        <v>Shopping</v>
      </c>
      <c r="F256" s="10" t="s">
        <v>526</v>
      </c>
      <c r="G256" s="1" t="s">
        <v>8</v>
      </c>
      <c r="H256" s="15">
        <f>MONTH(tblClean[[#This Row],[Date]])</f>
        <v>11</v>
      </c>
      <c r="I256" s="15">
        <f>YEAR(tblClean[[#This Row],[Date]])</f>
        <v>2020</v>
      </c>
    </row>
    <row r="257" spans="1:9" x14ac:dyDescent="0.25">
      <c r="A257" s="7">
        <v>44157</v>
      </c>
      <c r="B257" s="2" t="s">
        <v>527</v>
      </c>
      <c r="C257" s="4" t="str">
        <f>TRIM(CLEAN(PROPER(tblClean[[#This Row],[Transaction Description]])))</f>
        <v>Guy Congress.</v>
      </c>
      <c r="D257" s="2" t="s">
        <v>38</v>
      </c>
      <c r="E257" s="3" t="str">
        <f>TRIM(CLEAN(PROPER(tblClean[[#This Row],[Category]])))</f>
        <v>Salary</v>
      </c>
      <c r="F257" s="11" t="s">
        <v>528</v>
      </c>
      <c r="G257" s="2" t="s">
        <v>8</v>
      </c>
      <c r="H257" s="15">
        <f>MONTH(tblClean[[#This Row],[Date]])</f>
        <v>11</v>
      </c>
      <c r="I257" s="15">
        <f>YEAR(tblClean[[#This Row],[Date]])</f>
        <v>2020</v>
      </c>
    </row>
    <row r="258" spans="1:9" x14ac:dyDescent="0.25">
      <c r="A258" s="6">
        <v>44158</v>
      </c>
      <c r="B258" s="1" t="s">
        <v>529</v>
      </c>
      <c r="C258" s="3" t="str">
        <f>TRIM(CLEAN(PROPER(tblClean[[#This Row],[Transaction Description]])))</f>
        <v>Way Main Difficult Case.</v>
      </c>
      <c r="D258" s="1" t="s">
        <v>30</v>
      </c>
      <c r="E258" s="3" t="str">
        <f>TRIM(CLEAN(PROPER(tblClean[[#This Row],[Category]])))</f>
        <v>Entertainment</v>
      </c>
      <c r="F258" s="10" t="s">
        <v>530</v>
      </c>
      <c r="G258" s="1" t="s">
        <v>8</v>
      </c>
      <c r="H258" s="15">
        <f>MONTH(tblClean[[#This Row],[Date]])</f>
        <v>11</v>
      </c>
      <c r="I258" s="15">
        <f>YEAR(tblClean[[#This Row],[Date]])</f>
        <v>2020</v>
      </c>
    </row>
    <row r="259" spans="1:9" x14ac:dyDescent="0.25">
      <c r="A259" s="7">
        <v>44160</v>
      </c>
      <c r="B259" s="2" t="s">
        <v>531</v>
      </c>
      <c r="C259" s="4" t="str">
        <f>TRIM(CLEAN(PROPER(tblClean[[#This Row],[Transaction Description]])))</f>
        <v>Such Big Side.</v>
      </c>
      <c r="D259" s="2" t="s">
        <v>27</v>
      </c>
      <c r="E259" s="3" t="str">
        <f>TRIM(CLEAN(PROPER(tblClean[[#This Row],[Category]])))</f>
        <v>Other</v>
      </c>
      <c r="F259" s="11" t="s">
        <v>532</v>
      </c>
      <c r="G259" s="2" t="s">
        <v>18</v>
      </c>
      <c r="H259" s="15">
        <f>MONTH(tblClean[[#This Row],[Date]])</f>
        <v>11</v>
      </c>
      <c r="I259" s="15">
        <f>YEAR(tblClean[[#This Row],[Date]])</f>
        <v>2020</v>
      </c>
    </row>
    <row r="260" spans="1:9" x14ac:dyDescent="0.25">
      <c r="A260" s="6">
        <v>44160</v>
      </c>
      <c r="B260" s="1" t="s">
        <v>533</v>
      </c>
      <c r="C260" s="3" t="str">
        <f>TRIM(CLEAN(PROPER(tblClean[[#This Row],[Transaction Description]])))</f>
        <v>Product Then.</v>
      </c>
      <c r="D260" s="1" t="s">
        <v>38</v>
      </c>
      <c r="E260" s="3" t="str">
        <f>TRIM(CLEAN(PROPER(tblClean[[#This Row],[Category]])))</f>
        <v>Salary</v>
      </c>
      <c r="F260" s="10" t="s">
        <v>534</v>
      </c>
      <c r="G260" s="1" t="s">
        <v>8</v>
      </c>
      <c r="H260" s="15">
        <f>MONTH(tblClean[[#This Row],[Date]])</f>
        <v>11</v>
      </c>
      <c r="I260" s="15">
        <f>YEAR(tblClean[[#This Row],[Date]])</f>
        <v>2020</v>
      </c>
    </row>
    <row r="261" spans="1:9" x14ac:dyDescent="0.25">
      <c r="A261" s="7">
        <v>44161</v>
      </c>
      <c r="B261" s="2" t="s">
        <v>535</v>
      </c>
      <c r="C261" s="4" t="str">
        <f>TRIM(CLEAN(PROPER(tblClean[[#This Row],[Transaction Description]])))</f>
        <v>Heavy Class Story Side Speak.</v>
      </c>
      <c r="D261" s="2" t="s">
        <v>30</v>
      </c>
      <c r="E261" s="3" t="str">
        <f>TRIM(CLEAN(PROPER(tblClean[[#This Row],[Category]])))</f>
        <v>Entertainment</v>
      </c>
      <c r="F261" s="11" t="s">
        <v>536</v>
      </c>
      <c r="G261" s="2" t="s">
        <v>8</v>
      </c>
      <c r="H261" s="15">
        <f>MONTH(tblClean[[#This Row],[Date]])</f>
        <v>11</v>
      </c>
      <c r="I261" s="15">
        <f>YEAR(tblClean[[#This Row],[Date]])</f>
        <v>2020</v>
      </c>
    </row>
    <row r="262" spans="1:9" x14ac:dyDescent="0.25">
      <c r="A262" s="6">
        <v>44162</v>
      </c>
      <c r="B262" s="1" t="s">
        <v>537</v>
      </c>
      <c r="C262" s="3" t="str">
        <f>TRIM(CLEAN(PROPER(tblClean[[#This Row],[Transaction Description]])))</f>
        <v>Analysis Hair Rest Wide.</v>
      </c>
      <c r="D262" s="1" t="s">
        <v>6</v>
      </c>
      <c r="E262" s="3" t="str">
        <f>TRIM(CLEAN(PROPER(tblClean[[#This Row],[Category]])))</f>
        <v>Food &amp; Drink</v>
      </c>
      <c r="F262" s="10" t="s">
        <v>538</v>
      </c>
      <c r="G262" s="1" t="s">
        <v>8</v>
      </c>
      <c r="H262" s="15">
        <f>MONTH(tblClean[[#This Row],[Date]])</f>
        <v>11</v>
      </c>
      <c r="I262" s="15">
        <f>YEAR(tblClean[[#This Row],[Date]])</f>
        <v>2020</v>
      </c>
    </row>
    <row r="263" spans="1:9" x14ac:dyDescent="0.25">
      <c r="A263" s="7">
        <v>44162</v>
      </c>
      <c r="B263" s="2" t="s">
        <v>539</v>
      </c>
      <c r="C263" s="4" t="str">
        <f>TRIM(CLEAN(PROPER(tblClean[[#This Row],[Transaction Description]])))</f>
        <v>Doctor Dream Whole Six.</v>
      </c>
      <c r="D263" s="2" t="s">
        <v>16</v>
      </c>
      <c r="E263" s="3" t="str">
        <f>TRIM(CLEAN(PROPER(tblClean[[#This Row],[Category]])))</f>
        <v>Investment</v>
      </c>
      <c r="F263" s="11" t="s">
        <v>540</v>
      </c>
      <c r="G263" s="2" t="s">
        <v>18</v>
      </c>
      <c r="H263" s="15">
        <f>MONTH(tblClean[[#This Row],[Date]])</f>
        <v>11</v>
      </c>
      <c r="I263" s="15">
        <f>YEAR(tblClean[[#This Row],[Date]])</f>
        <v>2020</v>
      </c>
    </row>
    <row r="264" spans="1:9" x14ac:dyDescent="0.25">
      <c r="A264" s="6">
        <v>44164</v>
      </c>
      <c r="B264" s="1" t="s">
        <v>541</v>
      </c>
      <c r="C264" s="3" t="str">
        <f>TRIM(CLEAN(PROPER(tblClean[[#This Row],[Transaction Description]])))</f>
        <v>Question Now Key Show.</v>
      </c>
      <c r="D264" s="1" t="s">
        <v>10</v>
      </c>
      <c r="E264" s="3" t="str">
        <f>TRIM(CLEAN(PROPER(tblClean[[#This Row],[Category]])))</f>
        <v>Utilities</v>
      </c>
      <c r="F264" s="10" t="s">
        <v>542</v>
      </c>
      <c r="G264" s="1" t="s">
        <v>8</v>
      </c>
      <c r="H264" s="15">
        <f>MONTH(tblClean[[#This Row],[Date]])</f>
        <v>11</v>
      </c>
      <c r="I264" s="15">
        <f>YEAR(tblClean[[#This Row],[Date]])</f>
        <v>2020</v>
      </c>
    </row>
    <row r="265" spans="1:9" x14ac:dyDescent="0.25">
      <c r="A265" s="7">
        <v>44166</v>
      </c>
      <c r="B265" s="2" t="s">
        <v>543</v>
      </c>
      <c r="C265" s="4" t="str">
        <f>TRIM(CLEAN(PROPER(tblClean[[#This Row],[Transaction Description]])))</f>
        <v>Month Whom Stage Soon.</v>
      </c>
      <c r="D265" s="2" t="s">
        <v>53</v>
      </c>
      <c r="E265" s="3" t="str">
        <f>TRIM(CLEAN(PROPER(tblClean[[#This Row],[Category]])))</f>
        <v>Travel</v>
      </c>
      <c r="F265" s="11" t="s">
        <v>544</v>
      </c>
      <c r="G265" s="2" t="s">
        <v>8</v>
      </c>
      <c r="H265" s="15">
        <f>MONTH(tblClean[[#This Row],[Date]])</f>
        <v>12</v>
      </c>
      <c r="I265" s="15">
        <f>YEAR(tblClean[[#This Row],[Date]])</f>
        <v>2020</v>
      </c>
    </row>
    <row r="266" spans="1:9" x14ac:dyDescent="0.25">
      <c r="A266" s="6">
        <v>44170</v>
      </c>
      <c r="B266" s="1" t="s">
        <v>545</v>
      </c>
      <c r="C266" s="3" t="str">
        <f>TRIM(CLEAN(PROPER(tblClean[[#This Row],[Transaction Description]])))</f>
        <v>Appear Lose He.</v>
      </c>
      <c r="D266" s="1" t="s">
        <v>38</v>
      </c>
      <c r="E266" s="3" t="str">
        <f>TRIM(CLEAN(PROPER(tblClean[[#This Row],[Category]])))</f>
        <v>Salary</v>
      </c>
      <c r="F266" s="10" t="s">
        <v>546</v>
      </c>
      <c r="G266" s="1" t="s">
        <v>8</v>
      </c>
      <c r="H266" s="15">
        <f>MONTH(tblClean[[#This Row],[Date]])</f>
        <v>12</v>
      </c>
      <c r="I266" s="15">
        <f>YEAR(tblClean[[#This Row],[Date]])</f>
        <v>2020</v>
      </c>
    </row>
    <row r="267" spans="1:9" x14ac:dyDescent="0.25">
      <c r="A267" s="7">
        <v>44170</v>
      </c>
      <c r="B267" s="2" t="s">
        <v>547</v>
      </c>
      <c r="C267" s="4" t="str">
        <f>TRIM(CLEAN(PROPER(tblClean[[#This Row],[Transaction Description]])))</f>
        <v>Surface Expect Several Evening Town.</v>
      </c>
      <c r="D267" s="2" t="s">
        <v>22</v>
      </c>
      <c r="E267" s="3" t="str">
        <f>TRIM(CLEAN(PROPER(tblClean[[#This Row],[Category]])))</f>
        <v>Shopping</v>
      </c>
      <c r="F267" s="11" t="s">
        <v>548</v>
      </c>
      <c r="G267" s="2" t="s">
        <v>8</v>
      </c>
      <c r="H267" s="15">
        <f>MONTH(tblClean[[#This Row],[Date]])</f>
        <v>12</v>
      </c>
      <c r="I267" s="15">
        <f>YEAR(tblClean[[#This Row],[Date]])</f>
        <v>2020</v>
      </c>
    </row>
    <row r="268" spans="1:9" x14ac:dyDescent="0.25">
      <c r="A268" s="6">
        <v>44171</v>
      </c>
      <c r="B268" s="1" t="s">
        <v>549</v>
      </c>
      <c r="C268" s="3" t="str">
        <f>TRIM(CLEAN(PROPER(tblClean[[#This Row],[Transaction Description]])))</f>
        <v>Begin Treat Stage This.</v>
      </c>
      <c r="D268" s="1" t="s">
        <v>10</v>
      </c>
      <c r="E268" s="3" t="str">
        <f>TRIM(CLEAN(PROPER(tblClean[[#This Row],[Category]])))</f>
        <v>Utilities</v>
      </c>
      <c r="F268" s="10" t="s">
        <v>550</v>
      </c>
      <c r="G268" s="1" t="s">
        <v>8</v>
      </c>
      <c r="H268" s="15">
        <f>MONTH(tblClean[[#This Row],[Date]])</f>
        <v>12</v>
      </c>
      <c r="I268" s="15">
        <f>YEAR(tblClean[[#This Row],[Date]])</f>
        <v>2020</v>
      </c>
    </row>
    <row r="269" spans="1:9" x14ac:dyDescent="0.25">
      <c r="A269" s="7">
        <v>44175</v>
      </c>
      <c r="B269" s="2" t="s">
        <v>551</v>
      </c>
      <c r="C269" s="4" t="str">
        <f>TRIM(CLEAN(PROPER(tblClean[[#This Row],[Transaction Description]])))</f>
        <v>Apply Maybe Dog Yes.</v>
      </c>
      <c r="D269" s="2" t="s">
        <v>22</v>
      </c>
      <c r="E269" s="3" t="str">
        <f>TRIM(CLEAN(PROPER(tblClean[[#This Row],[Category]])))</f>
        <v>Shopping</v>
      </c>
      <c r="F269" s="11" t="s">
        <v>552</v>
      </c>
      <c r="G269" s="2" t="s">
        <v>8</v>
      </c>
      <c r="H269" s="15">
        <f>MONTH(tblClean[[#This Row],[Date]])</f>
        <v>12</v>
      </c>
      <c r="I269" s="15">
        <f>YEAR(tblClean[[#This Row],[Date]])</f>
        <v>2020</v>
      </c>
    </row>
    <row r="270" spans="1:9" x14ac:dyDescent="0.25">
      <c r="A270" s="6">
        <v>44175</v>
      </c>
      <c r="B270" s="1" t="s">
        <v>553</v>
      </c>
      <c r="C270" s="3" t="str">
        <f>TRIM(CLEAN(PROPER(tblClean[[#This Row],[Transaction Description]])))</f>
        <v>Agreement Us Stuff.</v>
      </c>
      <c r="D270" s="1" t="s">
        <v>53</v>
      </c>
      <c r="E270" s="3" t="str">
        <f>TRIM(CLEAN(PROPER(tblClean[[#This Row],[Category]])))</f>
        <v>Travel</v>
      </c>
      <c r="F270" s="10" t="s">
        <v>554</v>
      </c>
      <c r="G270" s="1" t="s">
        <v>8</v>
      </c>
      <c r="H270" s="15">
        <f>MONTH(tblClean[[#This Row],[Date]])</f>
        <v>12</v>
      </c>
      <c r="I270" s="15">
        <f>YEAR(tblClean[[#This Row],[Date]])</f>
        <v>2020</v>
      </c>
    </row>
    <row r="271" spans="1:9" x14ac:dyDescent="0.25">
      <c r="A271" s="7">
        <v>44176</v>
      </c>
      <c r="B271" s="2" t="s">
        <v>555</v>
      </c>
      <c r="C271" s="4" t="str">
        <f>TRIM(CLEAN(PROPER(tblClean[[#This Row],[Transaction Description]])))</f>
        <v>Case Expert Stop.</v>
      </c>
      <c r="D271" s="2" t="s">
        <v>53</v>
      </c>
      <c r="E271" s="3" t="str">
        <f>TRIM(CLEAN(PROPER(tblClean[[#This Row],[Category]])))</f>
        <v>Travel</v>
      </c>
      <c r="F271" s="11" t="s">
        <v>556</v>
      </c>
      <c r="G271" s="2" t="s">
        <v>8</v>
      </c>
      <c r="H271" s="15">
        <f>MONTH(tblClean[[#This Row],[Date]])</f>
        <v>12</v>
      </c>
      <c r="I271" s="15">
        <f>YEAR(tblClean[[#This Row],[Date]])</f>
        <v>2020</v>
      </c>
    </row>
    <row r="272" spans="1:9" x14ac:dyDescent="0.25">
      <c r="A272" s="6">
        <v>44177</v>
      </c>
      <c r="B272" s="1" t="s">
        <v>557</v>
      </c>
      <c r="C272" s="3" t="str">
        <f>TRIM(CLEAN(PROPER(tblClean[[#This Row],[Transaction Description]])))</f>
        <v>Large Accept Bad Eight.</v>
      </c>
      <c r="D272" s="1" t="s">
        <v>38</v>
      </c>
      <c r="E272" s="3" t="str">
        <f>TRIM(CLEAN(PROPER(tblClean[[#This Row],[Category]])))</f>
        <v>Salary</v>
      </c>
      <c r="F272" s="10" t="s">
        <v>558</v>
      </c>
      <c r="G272" s="1" t="s">
        <v>8</v>
      </c>
      <c r="H272" s="15">
        <f>MONTH(tblClean[[#This Row],[Date]])</f>
        <v>12</v>
      </c>
      <c r="I272" s="15">
        <f>YEAR(tblClean[[#This Row],[Date]])</f>
        <v>2020</v>
      </c>
    </row>
    <row r="273" spans="1:9" x14ac:dyDescent="0.25">
      <c r="A273" s="7">
        <v>44178</v>
      </c>
      <c r="B273" s="2" t="s">
        <v>559</v>
      </c>
      <c r="C273" s="4" t="str">
        <f>TRIM(CLEAN(PROPER(tblClean[[#This Row],[Transaction Description]])))</f>
        <v>Vote Participant Institution Simply Down.</v>
      </c>
      <c r="D273" s="2" t="s">
        <v>38</v>
      </c>
      <c r="E273" s="3" t="str">
        <f>TRIM(CLEAN(PROPER(tblClean[[#This Row],[Category]])))</f>
        <v>Salary</v>
      </c>
      <c r="F273" s="11" t="s">
        <v>560</v>
      </c>
      <c r="G273" s="2" t="s">
        <v>8</v>
      </c>
      <c r="H273" s="15">
        <f>MONTH(tblClean[[#This Row],[Date]])</f>
        <v>12</v>
      </c>
      <c r="I273" s="15">
        <f>YEAR(tblClean[[#This Row],[Date]])</f>
        <v>2020</v>
      </c>
    </row>
    <row r="274" spans="1:9" x14ac:dyDescent="0.25">
      <c r="A274" s="7">
        <v>44179</v>
      </c>
      <c r="B274" s="2" t="s">
        <v>563</v>
      </c>
      <c r="C274" s="4" t="str">
        <f>TRIM(CLEAN(PROPER(tblClean[[#This Row],[Transaction Description]])))</f>
        <v>Book Toward.</v>
      </c>
      <c r="D274" s="2" t="s">
        <v>30</v>
      </c>
      <c r="E274" s="3" t="str">
        <f>TRIM(CLEAN(PROPER(tblClean[[#This Row],[Category]])))</f>
        <v>Entertainment</v>
      </c>
      <c r="F274" s="11" t="s">
        <v>564</v>
      </c>
      <c r="G274" s="2" t="s">
        <v>8</v>
      </c>
      <c r="H274" s="15">
        <f>MONTH(tblClean[[#This Row],[Date]])</f>
        <v>12</v>
      </c>
      <c r="I274" s="15">
        <f>YEAR(tblClean[[#This Row],[Date]])</f>
        <v>2020</v>
      </c>
    </row>
    <row r="275" spans="1:9" x14ac:dyDescent="0.25">
      <c r="A275" s="6">
        <v>44179</v>
      </c>
      <c r="B275" s="1" t="s">
        <v>561</v>
      </c>
      <c r="C275" s="3" t="str">
        <f>TRIM(CLEAN(PROPER(tblClean[[#This Row],[Transaction Description]])))</f>
        <v>Draw Police.</v>
      </c>
      <c r="D275" s="1" t="s">
        <v>22</v>
      </c>
      <c r="E275" s="3" t="str">
        <f>TRIM(CLEAN(PROPER(tblClean[[#This Row],[Category]])))</f>
        <v>Shopping</v>
      </c>
      <c r="F275" s="10" t="s">
        <v>562</v>
      </c>
      <c r="G275" s="1" t="s">
        <v>8</v>
      </c>
      <c r="H275" s="15">
        <f>MONTH(tblClean[[#This Row],[Date]])</f>
        <v>12</v>
      </c>
      <c r="I275" s="15">
        <f>YEAR(tblClean[[#This Row],[Date]])</f>
        <v>2020</v>
      </c>
    </row>
    <row r="276" spans="1:9" x14ac:dyDescent="0.25">
      <c r="A276" s="7">
        <v>44181</v>
      </c>
      <c r="B276" s="2" t="s">
        <v>567</v>
      </c>
      <c r="C276" s="4" t="str">
        <f>TRIM(CLEAN(PROPER(tblClean[[#This Row],[Transaction Description]])))</f>
        <v>Investment Pass Drive.</v>
      </c>
      <c r="D276" s="2" t="s">
        <v>6</v>
      </c>
      <c r="E276" s="3" t="str">
        <f>TRIM(CLEAN(PROPER(tblClean[[#This Row],[Category]])))</f>
        <v>Food &amp; Drink</v>
      </c>
      <c r="F276" s="11" t="s">
        <v>568</v>
      </c>
      <c r="G276" s="2" t="s">
        <v>8</v>
      </c>
      <c r="H276" s="15">
        <f>MONTH(tblClean[[#This Row],[Date]])</f>
        <v>12</v>
      </c>
      <c r="I276" s="15">
        <f>YEAR(tblClean[[#This Row],[Date]])</f>
        <v>2020</v>
      </c>
    </row>
    <row r="277" spans="1:9" x14ac:dyDescent="0.25">
      <c r="A277" s="6">
        <v>44181</v>
      </c>
      <c r="B277" s="1" t="s">
        <v>565</v>
      </c>
      <c r="C277" s="3" t="str">
        <f>TRIM(CLEAN(PROPER(tblClean[[#This Row],[Transaction Description]])))</f>
        <v>Place Offer.</v>
      </c>
      <c r="D277" s="1" t="s">
        <v>22</v>
      </c>
      <c r="E277" s="3" t="str">
        <f>TRIM(CLEAN(PROPER(tblClean[[#This Row],[Category]])))</f>
        <v>Shopping</v>
      </c>
      <c r="F277" s="10" t="s">
        <v>566</v>
      </c>
      <c r="G277" s="1" t="s">
        <v>8</v>
      </c>
      <c r="H277" s="15">
        <f>MONTH(tblClean[[#This Row],[Date]])</f>
        <v>12</v>
      </c>
      <c r="I277" s="15">
        <f>YEAR(tblClean[[#This Row],[Date]])</f>
        <v>2020</v>
      </c>
    </row>
    <row r="278" spans="1:9" x14ac:dyDescent="0.25">
      <c r="A278" s="6">
        <v>44181</v>
      </c>
      <c r="B278" s="1" t="s">
        <v>569</v>
      </c>
      <c r="C278" s="3" t="str">
        <f>TRIM(CLEAN(PROPER(tblClean[[#This Row],[Transaction Description]])))</f>
        <v>Professor Beat Window.</v>
      </c>
      <c r="D278" s="1" t="s">
        <v>22</v>
      </c>
      <c r="E278" s="3" t="str">
        <f>TRIM(CLEAN(PROPER(tblClean[[#This Row],[Category]])))</f>
        <v>Shopping</v>
      </c>
      <c r="F278" s="10" t="s">
        <v>570</v>
      </c>
      <c r="G278" s="1" t="s">
        <v>8</v>
      </c>
      <c r="H278" s="15">
        <f>MONTH(tblClean[[#This Row],[Date]])</f>
        <v>12</v>
      </c>
      <c r="I278" s="15">
        <f>YEAR(tblClean[[#This Row],[Date]])</f>
        <v>2020</v>
      </c>
    </row>
    <row r="279" spans="1:9" x14ac:dyDescent="0.25">
      <c r="A279" s="6">
        <v>44183</v>
      </c>
      <c r="B279" s="1" t="s">
        <v>573</v>
      </c>
      <c r="C279" s="3" t="str">
        <f>TRIM(CLEAN(PROPER(tblClean[[#This Row],[Transaction Description]])))</f>
        <v>Wonder Effect Administration Small.</v>
      </c>
      <c r="D279" s="1" t="s">
        <v>27</v>
      </c>
      <c r="E279" s="3" t="str">
        <f>TRIM(CLEAN(PROPER(tblClean[[#This Row],[Category]])))</f>
        <v>Other</v>
      </c>
      <c r="F279" s="10" t="s">
        <v>574</v>
      </c>
      <c r="G279" s="1" t="s">
        <v>18</v>
      </c>
      <c r="H279" s="15">
        <f>MONTH(tblClean[[#This Row],[Date]])</f>
        <v>12</v>
      </c>
      <c r="I279" s="15">
        <f>YEAR(tblClean[[#This Row],[Date]])</f>
        <v>2020</v>
      </c>
    </row>
    <row r="280" spans="1:9" x14ac:dyDescent="0.25">
      <c r="A280" s="7">
        <v>44183</v>
      </c>
      <c r="B280" s="2" t="s">
        <v>571</v>
      </c>
      <c r="C280" s="4" t="str">
        <f>TRIM(CLEAN(PROPER(tblClean[[#This Row],[Transaction Description]])))</f>
        <v>Name Skill Medical After Them.</v>
      </c>
      <c r="D280" s="2" t="s">
        <v>10</v>
      </c>
      <c r="E280" s="3" t="str">
        <f>TRIM(CLEAN(PROPER(tblClean[[#This Row],[Category]])))</f>
        <v>Utilities</v>
      </c>
      <c r="F280" s="11" t="s">
        <v>572</v>
      </c>
      <c r="G280" s="2" t="s">
        <v>8</v>
      </c>
      <c r="H280" s="15">
        <f>MONTH(tblClean[[#This Row],[Date]])</f>
        <v>12</v>
      </c>
      <c r="I280" s="15">
        <f>YEAR(tblClean[[#This Row],[Date]])</f>
        <v>2020</v>
      </c>
    </row>
    <row r="281" spans="1:9" x14ac:dyDescent="0.25">
      <c r="A281" s="6">
        <v>44185</v>
      </c>
      <c r="B281" s="1" t="s">
        <v>577</v>
      </c>
      <c r="C281" s="3" t="str">
        <f>TRIM(CLEAN(PROPER(tblClean[[#This Row],[Transaction Description]])))</f>
        <v>And National Spend.</v>
      </c>
      <c r="D281" s="1" t="s">
        <v>6</v>
      </c>
      <c r="E281" s="3" t="str">
        <f>TRIM(CLEAN(PROPER(tblClean[[#This Row],[Category]])))</f>
        <v>Food &amp; Drink</v>
      </c>
      <c r="F281" s="10" t="s">
        <v>578</v>
      </c>
      <c r="G281" s="1" t="s">
        <v>8</v>
      </c>
      <c r="H281" s="15">
        <f>MONTH(tblClean[[#This Row],[Date]])</f>
        <v>12</v>
      </c>
      <c r="I281" s="15">
        <f>YEAR(tblClean[[#This Row],[Date]])</f>
        <v>2020</v>
      </c>
    </row>
    <row r="282" spans="1:9" x14ac:dyDescent="0.25">
      <c r="A282" s="7">
        <v>44185</v>
      </c>
      <c r="B282" s="2" t="s">
        <v>575</v>
      </c>
      <c r="C282" s="4" t="str">
        <f>TRIM(CLEAN(PROPER(tblClean[[#This Row],[Transaction Description]])))</f>
        <v>Run Pick Sign.</v>
      </c>
      <c r="D282" s="2" t="s">
        <v>38</v>
      </c>
      <c r="E282" s="3" t="str">
        <f>TRIM(CLEAN(PROPER(tblClean[[#This Row],[Category]])))</f>
        <v>Salary</v>
      </c>
      <c r="F282" s="11" t="s">
        <v>576</v>
      </c>
      <c r="G282" s="2" t="s">
        <v>8</v>
      </c>
      <c r="H282" s="15">
        <f>MONTH(tblClean[[#This Row],[Date]])</f>
        <v>12</v>
      </c>
      <c r="I282" s="15">
        <f>YEAR(tblClean[[#This Row],[Date]])</f>
        <v>2020</v>
      </c>
    </row>
    <row r="283" spans="1:9" x14ac:dyDescent="0.25">
      <c r="A283" s="7">
        <v>44187</v>
      </c>
      <c r="B283" s="2" t="s">
        <v>579</v>
      </c>
      <c r="C283" s="4" t="str">
        <f>TRIM(CLEAN(PROPER(tblClean[[#This Row],[Transaction Description]])))</f>
        <v>Wonder Long Consider Care.</v>
      </c>
      <c r="D283" s="2" t="s">
        <v>10</v>
      </c>
      <c r="E283" s="3" t="str">
        <f>TRIM(CLEAN(PROPER(tblClean[[#This Row],[Category]])))</f>
        <v>Utilities</v>
      </c>
      <c r="F283" s="11" t="s">
        <v>580</v>
      </c>
      <c r="G283" s="2" t="s">
        <v>8</v>
      </c>
      <c r="H283" s="15">
        <f>MONTH(tblClean[[#This Row],[Date]])</f>
        <v>12</v>
      </c>
      <c r="I283" s="15">
        <f>YEAR(tblClean[[#This Row],[Date]])</f>
        <v>2020</v>
      </c>
    </row>
    <row r="284" spans="1:9" x14ac:dyDescent="0.25">
      <c r="A284" s="7">
        <v>44188</v>
      </c>
      <c r="B284" s="2" t="s">
        <v>583</v>
      </c>
      <c r="C284" s="4" t="str">
        <f>TRIM(CLEAN(PROPER(tblClean[[#This Row],[Transaction Description]])))</f>
        <v>Firm Financial.</v>
      </c>
      <c r="D284" s="2" t="s">
        <v>13</v>
      </c>
      <c r="E284" s="3" t="str">
        <f>TRIM(CLEAN(PROPER(tblClean[[#This Row],[Category]])))</f>
        <v>Rent</v>
      </c>
      <c r="F284" s="11" t="s">
        <v>584</v>
      </c>
      <c r="G284" s="2" t="s">
        <v>8</v>
      </c>
      <c r="H284" s="15">
        <f>MONTH(tblClean[[#This Row],[Date]])</f>
        <v>12</v>
      </c>
      <c r="I284" s="15">
        <f>YEAR(tblClean[[#This Row],[Date]])</f>
        <v>2020</v>
      </c>
    </row>
    <row r="285" spans="1:9" x14ac:dyDescent="0.25">
      <c r="A285" s="6">
        <v>44188</v>
      </c>
      <c r="B285" s="1" t="s">
        <v>581</v>
      </c>
      <c r="C285" s="3" t="str">
        <f>TRIM(CLEAN(PROPER(tblClean[[#This Row],[Transaction Description]])))</f>
        <v>Fall Analysis.</v>
      </c>
      <c r="D285" s="1" t="s">
        <v>53</v>
      </c>
      <c r="E285" s="3" t="str">
        <f>TRIM(CLEAN(PROPER(tblClean[[#This Row],[Category]])))</f>
        <v>Travel</v>
      </c>
      <c r="F285" s="10" t="s">
        <v>582</v>
      </c>
      <c r="G285" s="1" t="s">
        <v>8</v>
      </c>
      <c r="H285" s="15">
        <f>MONTH(tblClean[[#This Row],[Date]])</f>
        <v>12</v>
      </c>
      <c r="I285" s="15">
        <f>YEAR(tblClean[[#This Row],[Date]])</f>
        <v>2020</v>
      </c>
    </row>
    <row r="286" spans="1:9" x14ac:dyDescent="0.25">
      <c r="A286" s="6">
        <v>44189</v>
      </c>
      <c r="B286" s="1" t="s">
        <v>585</v>
      </c>
      <c r="C286" s="3" t="str">
        <f>TRIM(CLEAN(PROPER(tblClean[[#This Row],[Transaction Description]])))</f>
        <v>List Already Positive Experience Television.</v>
      </c>
      <c r="D286" s="1" t="s">
        <v>22</v>
      </c>
      <c r="E286" s="3" t="str">
        <f>TRIM(CLEAN(PROPER(tblClean[[#This Row],[Category]])))</f>
        <v>Shopping</v>
      </c>
      <c r="F286" s="10" t="s">
        <v>586</v>
      </c>
      <c r="G286" s="1" t="s">
        <v>8</v>
      </c>
      <c r="H286" s="15">
        <f>MONTH(tblClean[[#This Row],[Date]])</f>
        <v>12</v>
      </c>
      <c r="I286" s="15">
        <f>YEAR(tblClean[[#This Row],[Date]])</f>
        <v>2020</v>
      </c>
    </row>
    <row r="287" spans="1:9" x14ac:dyDescent="0.25">
      <c r="A287" s="7">
        <v>44190</v>
      </c>
      <c r="B287" s="2" t="s">
        <v>587</v>
      </c>
      <c r="C287" s="4" t="str">
        <f>TRIM(CLEAN(PROPER(tblClean[[#This Row],[Transaction Description]])))</f>
        <v>Event Son Join Hundred.</v>
      </c>
      <c r="D287" s="2" t="s">
        <v>38</v>
      </c>
      <c r="E287" s="3" t="str">
        <f>TRIM(CLEAN(PROPER(tblClean[[#This Row],[Category]])))</f>
        <v>Salary</v>
      </c>
      <c r="F287" s="11" t="s">
        <v>588</v>
      </c>
      <c r="G287" s="2" t="s">
        <v>8</v>
      </c>
      <c r="H287" s="15">
        <f>MONTH(tblClean[[#This Row],[Date]])</f>
        <v>12</v>
      </c>
      <c r="I287" s="15">
        <f>YEAR(tblClean[[#This Row],[Date]])</f>
        <v>2020</v>
      </c>
    </row>
    <row r="288" spans="1:9" x14ac:dyDescent="0.25">
      <c r="A288" s="6">
        <v>44191</v>
      </c>
      <c r="B288" s="1" t="s">
        <v>589</v>
      </c>
      <c r="C288" s="3" t="str">
        <f>TRIM(CLEAN(PROPER(tblClean[[#This Row],[Transaction Description]])))</f>
        <v>Fund Cost Reality Happen.</v>
      </c>
      <c r="D288" s="1" t="s">
        <v>16</v>
      </c>
      <c r="E288" s="3" t="str">
        <f>TRIM(CLEAN(PROPER(tblClean[[#This Row],[Category]])))</f>
        <v>Investment</v>
      </c>
      <c r="F288" s="10" t="s">
        <v>590</v>
      </c>
      <c r="G288" s="1" t="s">
        <v>18</v>
      </c>
      <c r="H288" s="15">
        <f>MONTH(tblClean[[#This Row],[Date]])</f>
        <v>12</v>
      </c>
      <c r="I288" s="15">
        <f>YEAR(tblClean[[#This Row],[Date]])</f>
        <v>2020</v>
      </c>
    </row>
    <row r="289" spans="1:9" x14ac:dyDescent="0.25">
      <c r="A289" s="7">
        <v>44193</v>
      </c>
      <c r="B289" s="2" t="s">
        <v>591</v>
      </c>
      <c r="C289" s="4" t="str">
        <f>TRIM(CLEAN(PROPER(tblClean[[#This Row],[Transaction Description]])))</f>
        <v>Song Risk Bad.</v>
      </c>
      <c r="D289" s="2" t="s">
        <v>53</v>
      </c>
      <c r="E289" s="3" t="str">
        <f>TRIM(CLEAN(PROPER(tblClean[[#This Row],[Category]])))</f>
        <v>Travel</v>
      </c>
      <c r="F289" s="11" t="s">
        <v>592</v>
      </c>
      <c r="G289" s="2" t="s">
        <v>8</v>
      </c>
      <c r="H289" s="15">
        <f>MONTH(tblClean[[#This Row],[Date]])</f>
        <v>12</v>
      </c>
      <c r="I289" s="15">
        <f>YEAR(tblClean[[#This Row],[Date]])</f>
        <v>2020</v>
      </c>
    </row>
    <row r="290" spans="1:9" x14ac:dyDescent="0.25">
      <c r="A290" s="6">
        <v>44195</v>
      </c>
      <c r="B290" s="1" t="s">
        <v>593</v>
      </c>
      <c r="C290" s="3" t="str">
        <f>TRIM(CLEAN(PROPER(tblClean[[#This Row],[Transaction Description]])))</f>
        <v>Family Bill Foreign Fast Knowledge.</v>
      </c>
      <c r="D290" s="1" t="s">
        <v>22</v>
      </c>
      <c r="E290" s="3" t="str">
        <f>TRIM(CLEAN(PROPER(tblClean[[#This Row],[Category]])))</f>
        <v>Shopping</v>
      </c>
      <c r="F290" s="10" t="s">
        <v>594</v>
      </c>
      <c r="G290" s="1" t="s">
        <v>8</v>
      </c>
      <c r="H290" s="15">
        <f>MONTH(tblClean[[#This Row],[Date]])</f>
        <v>12</v>
      </c>
      <c r="I290" s="15">
        <f>YEAR(tblClean[[#This Row],[Date]])</f>
        <v>2020</v>
      </c>
    </row>
    <row r="291" spans="1:9" x14ac:dyDescent="0.25">
      <c r="A291" s="7">
        <v>44196</v>
      </c>
      <c r="B291" s="2" t="s">
        <v>595</v>
      </c>
      <c r="C291" s="4" t="str">
        <f>TRIM(CLEAN(PROPER(tblClean[[#This Row],[Transaction Description]])))</f>
        <v>Ready Goal Amount.</v>
      </c>
      <c r="D291" s="2" t="s">
        <v>13</v>
      </c>
      <c r="E291" s="3" t="str">
        <f>TRIM(CLEAN(PROPER(tblClean[[#This Row],[Category]])))</f>
        <v>Rent</v>
      </c>
      <c r="F291" s="11" t="s">
        <v>596</v>
      </c>
      <c r="G291" s="2" t="s">
        <v>8</v>
      </c>
      <c r="H291" s="15">
        <f>MONTH(tblClean[[#This Row],[Date]])</f>
        <v>12</v>
      </c>
      <c r="I291" s="15">
        <f>YEAR(tblClean[[#This Row],[Date]])</f>
        <v>2020</v>
      </c>
    </row>
    <row r="292" spans="1:9" x14ac:dyDescent="0.25">
      <c r="A292" s="6">
        <v>44197</v>
      </c>
      <c r="B292" s="1" t="s">
        <v>597</v>
      </c>
      <c r="C292" s="3" t="str">
        <f>TRIM(CLEAN(PROPER(tblClean[[#This Row],[Transaction Description]])))</f>
        <v>Your Ever Woman Way Avoid.</v>
      </c>
      <c r="D292" s="1" t="s">
        <v>6</v>
      </c>
      <c r="E292" s="3" t="str">
        <f>TRIM(CLEAN(PROPER(tblClean[[#This Row],[Category]])))</f>
        <v>Food &amp; Drink</v>
      </c>
      <c r="F292" s="10" t="s">
        <v>598</v>
      </c>
      <c r="G292" s="1" t="s">
        <v>8</v>
      </c>
      <c r="H292" s="15">
        <f>MONTH(tblClean[[#This Row],[Date]])</f>
        <v>1</v>
      </c>
      <c r="I292" s="15">
        <f>YEAR(tblClean[[#This Row],[Date]])</f>
        <v>2021</v>
      </c>
    </row>
    <row r="293" spans="1:9" x14ac:dyDescent="0.25">
      <c r="A293" s="6">
        <v>44202</v>
      </c>
      <c r="B293" s="1" t="s">
        <v>601</v>
      </c>
      <c r="C293" s="3" t="str">
        <f>TRIM(CLEAN(PROPER(tblClean[[#This Row],[Transaction Description]])))</f>
        <v>Call Door.</v>
      </c>
      <c r="D293" s="1" t="s">
        <v>30</v>
      </c>
      <c r="E293" s="3" t="str">
        <f>TRIM(CLEAN(PROPER(tblClean[[#This Row],[Category]])))</f>
        <v>Entertainment</v>
      </c>
      <c r="F293" s="10" t="s">
        <v>602</v>
      </c>
      <c r="G293" s="1" t="s">
        <v>8</v>
      </c>
      <c r="H293" s="15">
        <f>MONTH(tblClean[[#This Row],[Date]])</f>
        <v>1</v>
      </c>
      <c r="I293" s="15">
        <f>YEAR(tblClean[[#This Row],[Date]])</f>
        <v>2021</v>
      </c>
    </row>
    <row r="294" spans="1:9" x14ac:dyDescent="0.25">
      <c r="A294" s="7">
        <v>44202</v>
      </c>
      <c r="B294" s="2" t="s">
        <v>599</v>
      </c>
      <c r="C294" s="4" t="str">
        <f>TRIM(CLEAN(PROPER(tblClean[[#This Row],[Transaction Description]])))</f>
        <v>Message Seek Civil All.</v>
      </c>
      <c r="D294" s="2" t="s">
        <v>53</v>
      </c>
      <c r="E294" s="3" t="str">
        <f>TRIM(CLEAN(PROPER(tblClean[[#This Row],[Category]])))</f>
        <v>Travel</v>
      </c>
      <c r="F294" s="11" t="s">
        <v>600</v>
      </c>
      <c r="G294" s="2" t="s">
        <v>8</v>
      </c>
      <c r="H294" s="15">
        <f>MONTH(tblClean[[#This Row],[Date]])</f>
        <v>1</v>
      </c>
      <c r="I294" s="15">
        <f>YEAR(tblClean[[#This Row],[Date]])</f>
        <v>2021</v>
      </c>
    </row>
    <row r="295" spans="1:9" x14ac:dyDescent="0.25">
      <c r="A295" s="7">
        <v>44204</v>
      </c>
      <c r="B295" s="2" t="s">
        <v>603</v>
      </c>
      <c r="C295" s="4" t="str">
        <f>TRIM(CLEAN(PROPER(tblClean[[#This Row],[Transaction Description]])))</f>
        <v>Him Note Painting Quickly.</v>
      </c>
      <c r="D295" s="2" t="s">
        <v>10</v>
      </c>
      <c r="E295" s="3" t="str">
        <f>TRIM(CLEAN(PROPER(tblClean[[#This Row],[Category]])))</f>
        <v>Utilities</v>
      </c>
      <c r="F295" s="11" t="s">
        <v>604</v>
      </c>
      <c r="G295" s="2" t="s">
        <v>8</v>
      </c>
      <c r="H295" s="15">
        <f>MONTH(tblClean[[#This Row],[Date]])</f>
        <v>1</v>
      </c>
      <c r="I295" s="15">
        <f>YEAR(tblClean[[#This Row],[Date]])</f>
        <v>2021</v>
      </c>
    </row>
    <row r="296" spans="1:9" x14ac:dyDescent="0.25">
      <c r="A296" s="6">
        <v>44206</v>
      </c>
      <c r="B296" s="1" t="s">
        <v>605</v>
      </c>
      <c r="C296" s="3" t="str">
        <f>TRIM(CLEAN(PROPER(tblClean[[#This Row],[Transaction Description]])))</f>
        <v>Know Baby Case Happen.</v>
      </c>
      <c r="D296" s="1" t="s">
        <v>27</v>
      </c>
      <c r="E296" s="3" t="str">
        <f>TRIM(CLEAN(PROPER(tblClean[[#This Row],[Category]])))</f>
        <v>Other</v>
      </c>
      <c r="F296" s="10" t="s">
        <v>606</v>
      </c>
      <c r="G296" s="1" t="s">
        <v>18</v>
      </c>
      <c r="H296" s="15">
        <f>MONTH(tblClean[[#This Row],[Date]])</f>
        <v>1</v>
      </c>
      <c r="I296" s="15">
        <f>YEAR(tblClean[[#This Row],[Date]])</f>
        <v>2021</v>
      </c>
    </row>
    <row r="297" spans="1:9" x14ac:dyDescent="0.25">
      <c r="A297" s="7">
        <v>44206</v>
      </c>
      <c r="B297" s="2" t="s">
        <v>607</v>
      </c>
      <c r="C297" s="4" t="str">
        <f>TRIM(CLEAN(PROPER(tblClean[[#This Row],[Transaction Description]])))</f>
        <v>Economic Box Save.</v>
      </c>
      <c r="D297" s="2" t="s">
        <v>10</v>
      </c>
      <c r="E297" s="3" t="str">
        <f>TRIM(CLEAN(PROPER(tblClean[[#This Row],[Category]])))</f>
        <v>Utilities</v>
      </c>
      <c r="F297" s="11" t="s">
        <v>608</v>
      </c>
      <c r="G297" s="2" t="s">
        <v>8</v>
      </c>
      <c r="H297" s="15">
        <f>MONTH(tblClean[[#This Row],[Date]])</f>
        <v>1</v>
      </c>
      <c r="I297" s="15">
        <f>YEAR(tblClean[[#This Row],[Date]])</f>
        <v>2021</v>
      </c>
    </row>
    <row r="298" spans="1:9" x14ac:dyDescent="0.25">
      <c r="A298" s="6">
        <v>44207</v>
      </c>
      <c r="B298" s="1" t="s">
        <v>609</v>
      </c>
      <c r="C298" s="3" t="str">
        <f>TRIM(CLEAN(PROPER(tblClean[[#This Row],[Transaction Description]])))</f>
        <v>Hit No Energy Employee Land.</v>
      </c>
      <c r="D298" s="1" t="s">
        <v>38</v>
      </c>
      <c r="E298" s="3" t="str">
        <f>TRIM(CLEAN(PROPER(tblClean[[#This Row],[Category]])))</f>
        <v>Salary</v>
      </c>
      <c r="F298" s="10" t="s">
        <v>610</v>
      </c>
      <c r="G298" s="1" t="s">
        <v>8</v>
      </c>
      <c r="H298" s="15">
        <f>MONTH(tblClean[[#This Row],[Date]])</f>
        <v>1</v>
      </c>
      <c r="I298" s="15">
        <f>YEAR(tblClean[[#This Row],[Date]])</f>
        <v>2021</v>
      </c>
    </row>
    <row r="299" spans="1:9" x14ac:dyDescent="0.25">
      <c r="A299" s="7">
        <v>44208</v>
      </c>
      <c r="B299" s="2" t="s">
        <v>611</v>
      </c>
      <c r="C299" s="4" t="str">
        <f>TRIM(CLEAN(PROPER(tblClean[[#This Row],[Transaction Description]])))</f>
        <v>Customer Career Available Common.</v>
      </c>
      <c r="D299" s="2" t="s">
        <v>27</v>
      </c>
      <c r="E299" s="3" t="str">
        <f>TRIM(CLEAN(PROPER(tblClean[[#This Row],[Category]])))</f>
        <v>Other</v>
      </c>
      <c r="F299" s="11" t="s">
        <v>612</v>
      </c>
      <c r="G299" s="2" t="s">
        <v>18</v>
      </c>
      <c r="H299" s="15">
        <f>MONTH(tblClean[[#This Row],[Date]])</f>
        <v>1</v>
      </c>
      <c r="I299" s="15">
        <f>YEAR(tblClean[[#This Row],[Date]])</f>
        <v>2021</v>
      </c>
    </row>
    <row r="300" spans="1:9" x14ac:dyDescent="0.25">
      <c r="A300" s="7">
        <v>44209</v>
      </c>
      <c r="B300" s="2" t="s">
        <v>615</v>
      </c>
      <c r="C300" s="4" t="str">
        <f>TRIM(CLEAN(PROPER(tblClean[[#This Row],[Transaction Description]])))</f>
        <v>Remember Nearly Face Feel.</v>
      </c>
      <c r="D300" s="2" t="s">
        <v>53</v>
      </c>
      <c r="E300" s="3" t="str">
        <f>TRIM(CLEAN(PROPER(tblClean[[#This Row],[Category]])))</f>
        <v>Travel</v>
      </c>
      <c r="F300" s="11" t="s">
        <v>616</v>
      </c>
      <c r="G300" s="2" t="s">
        <v>8</v>
      </c>
      <c r="H300" s="15">
        <f>MONTH(tblClean[[#This Row],[Date]])</f>
        <v>1</v>
      </c>
      <c r="I300" s="15">
        <f>YEAR(tblClean[[#This Row],[Date]])</f>
        <v>2021</v>
      </c>
    </row>
    <row r="301" spans="1:9" x14ac:dyDescent="0.25">
      <c r="A301" s="6">
        <v>44209</v>
      </c>
      <c r="B301" s="1" t="s">
        <v>613</v>
      </c>
      <c r="C301" s="3" t="str">
        <f>TRIM(CLEAN(PROPER(tblClean[[#This Row],[Transaction Description]])))</f>
        <v>Specific Whose.</v>
      </c>
      <c r="D301" s="1" t="s">
        <v>10</v>
      </c>
      <c r="E301" s="3" t="str">
        <f>TRIM(CLEAN(PROPER(tblClean[[#This Row],[Category]])))</f>
        <v>Utilities</v>
      </c>
      <c r="F301" s="10" t="s">
        <v>614</v>
      </c>
      <c r="G301" s="1" t="s">
        <v>8</v>
      </c>
      <c r="H301" s="15">
        <f>MONTH(tblClean[[#This Row],[Date]])</f>
        <v>1</v>
      </c>
      <c r="I301" s="15">
        <f>YEAR(tblClean[[#This Row],[Date]])</f>
        <v>2021</v>
      </c>
    </row>
    <row r="302" spans="1:9" x14ac:dyDescent="0.25">
      <c r="A302" s="7">
        <v>44210</v>
      </c>
      <c r="B302" s="2" t="s">
        <v>619</v>
      </c>
      <c r="C302" s="4" t="str">
        <f>TRIM(CLEAN(PROPER(tblClean[[#This Row],[Transaction Description]])))</f>
        <v>Door Management Guess.</v>
      </c>
      <c r="D302" s="2" t="s">
        <v>22</v>
      </c>
      <c r="E302" s="3" t="str">
        <f>TRIM(CLEAN(PROPER(tblClean[[#This Row],[Category]])))</f>
        <v>Shopping</v>
      </c>
      <c r="F302" s="11" t="s">
        <v>620</v>
      </c>
      <c r="G302" s="2" t="s">
        <v>8</v>
      </c>
      <c r="H302" s="15">
        <f>MONTH(tblClean[[#This Row],[Date]])</f>
        <v>1</v>
      </c>
      <c r="I302" s="15">
        <f>YEAR(tblClean[[#This Row],[Date]])</f>
        <v>2021</v>
      </c>
    </row>
    <row r="303" spans="1:9" x14ac:dyDescent="0.25">
      <c r="A303" s="6">
        <v>44210</v>
      </c>
      <c r="B303" s="1" t="s">
        <v>617</v>
      </c>
      <c r="C303" s="3" t="str">
        <f>TRIM(CLEAN(PROPER(tblClean[[#This Row],[Transaction Description]])))</f>
        <v>Soldier Meeting Building.</v>
      </c>
      <c r="D303" s="1" t="s">
        <v>53</v>
      </c>
      <c r="E303" s="3" t="str">
        <f>TRIM(CLEAN(PROPER(tblClean[[#This Row],[Category]])))</f>
        <v>Travel</v>
      </c>
      <c r="F303" s="10" t="s">
        <v>618</v>
      </c>
      <c r="G303" s="1" t="s">
        <v>8</v>
      </c>
      <c r="H303" s="15">
        <f>MONTH(tblClean[[#This Row],[Date]])</f>
        <v>1</v>
      </c>
      <c r="I303" s="15">
        <f>YEAR(tblClean[[#This Row],[Date]])</f>
        <v>2021</v>
      </c>
    </row>
    <row r="304" spans="1:9" x14ac:dyDescent="0.25">
      <c r="A304" s="6">
        <v>44211</v>
      </c>
      <c r="B304" s="1" t="s">
        <v>621</v>
      </c>
      <c r="C304" s="3" t="str">
        <f>TRIM(CLEAN(PROPER(tblClean[[#This Row],[Transaction Description]])))</f>
        <v>Level Work Candidate This.</v>
      </c>
      <c r="D304" s="1" t="s">
        <v>27</v>
      </c>
      <c r="E304" s="3" t="str">
        <f>TRIM(CLEAN(PROPER(tblClean[[#This Row],[Category]])))</f>
        <v>Other</v>
      </c>
      <c r="F304" s="10" t="s">
        <v>622</v>
      </c>
      <c r="G304" s="1" t="s">
        <v>18</v>
      </c>
      <c r="H304" s="15">
        <f>MONTH(tblClean[[#This Row],[Date]])</f>
        <v>1</v>
      </c>
      <c r="I304" s="15">
        <f>YEAR(tblClean[[#This Row],[Date]])</f>
        <v>2021</v>
      </c>
    </row>
    <row r="305" spans="1:9" x14ac:dyDescent="0.25">
      <c r="A305" s="7">
        <v>44211</v>
      </c>
      <c r="B305" s="2" t="s">
        <v>623</v>
      </c>
      <c r="C305" s="4" t="str">
        <f>TRIM(CLEAN(PROPER(tblClean[[#This Row],[Transaction Description]])))</f>
        <v>Huge Response Long.</v>
      </c>
      <c r="D305" s="2" t="s">
        <v>53</v>
      </c>
      <c r="E305" s="3" t="str">
        <f>TRIM(CLEAN(PROPER(tblClean[[#This Row],[Category]])))</f>
        <v>Travel</v>
      </c>
      <c r="F305" s="11" t="s">
        <v>624</v>
      </c>
      <c r="G305" s="2" t="s">
        <v>8</v>
      </c>
      <c r="H305" s="15">
        <f>MONTH(tblClean[[#This Row],[Date]])</f>
        <v>1</v>
      </c>
      <c r="I305" s="15">
        <f>YEAR(tblClean[[#This Row],[Date]])</f>
        <v>2021</v>
      </c>
    </row>
    <row r="306" spans="1:9" x14ac:dyDescent="0.25">
      <c r="A306" s="7">
        <v>44213</v>
      </c>
      <c r="B306" s="2" t="s">
        <v>627</v>
      </c>
      <c r="C306" s="4" t="str">
        <f>TRIM(CLEAN(PROPER(tblClean[[#This Row],[Transaction Description]])))</f>
        <v>Quite General There Sister.</v>
      </c>
      <c r="D306" s="2" t="s">
        <v>6</v>
      </c>
      <c r="E306" s="3" t="str">
        <f>TRIM(CLEAN(PROPER(tblClean[[#This Row],[Category]])))</f>
        <v>Food &amp; Drink</v>
      </c>
      <c r="F306" s="11" t="s">
        <v>628</v>
      </c>
      <c r="G306" s="2" t="s">
        <v>8</v>
      </c>
      <c r="H306" s="15">
        <f>MONTH(tblClean[[#This Row],[Date]])</f>
        <v>1</v>
      </c>
      <c r="I306" s="15">
        <f>YEAR(tblClean[[#This Row],[Date]])</f>
        <v>2021</v>
      </c>
    </row>
    <row r="307" spans="1:9" x14ac:dyDescent="0.25">
      <c r="A307" s="6">
        <v>44213</v>
      </c>
      <c r="B307" s="1" t="s">
        <v>625</v>
      </c>
      <c r="C307" s="3" t="str">
        <f>TRIM(CLEAN(PROPER(tblClean[[#This Row],[Transaction Description]])))</f>
        <v>Statement Available Win Politics.</v>
      </c>
      <c r="D307" s="1" t="s">
        <v>22</v>
      </c>
      <c r="E307" s="3" t="str">
        <f>TRIM(CLEAN(PROPER(tblClean[[#This Row],[Category]])))</f>
        <v>Shopping</v>
      </c>
      <c r="F307" s="10" t="s">
        <v>626</v>
      </c>
      <c r="G307" s="1" t="s">
        <v>8</v>
      </c>
      <c r="H307" s="15">
        <f>MONTH(tblClean[[#This Row],[Date]])</f>
        <v>1</v>
      </c>
      <c r="I307" s="15">
        <f>YEAR(tblClean[[#This Row],[Date]])</f>
        <v>2021</v>
      </c>
    </row>
    <row r="308" spans="1:9" x14ac:dyDescent="0.25">
      <c r="A308" s="6">
        <v>44215</v>
      </c>
      <c r="B308" s="1" t="s">
        <v>629</v>
      </c>
      <c r="C308" s="3" t="str">
        <f>TRIM(CLEAN(PROPER(tblClean[[#This Row],[Transaction Description]])))</f>
        <v>Item Treat Area.</v>
      </c>
      <c r="D308" s="1" t="s">
        <v>53</v>
      </c>
      <c r="E308" s="3" t="str">
        <f>TRIM(CLEAN(PROPER(tblClean[[#This Row],[Category]])))</f>
        <v>Travel</v>
      </c>
      <c r="F308" s="10" t="s">
        <v>630</v>
      </c>
      <c r="G308" s="1" t="s">
        <v>8</v>
      </c>
      <c r="H308" s="15">
        <f>MONTH(tblClean[[#This Row],[Date]])</f>
        <v>1</v>
      </c>
      <c r="I308" s="15">
        <f>YEAR(tblClean[[#This Row],[Date]])</f>
        <v>2021</v>
      </c>
    </row>
    <row r="309" spans="1:9" x14ac:dyDescent="0.25">
      <c r="A309" s="7">
        <v>44216</v>
      </c>
      <c r="B309" s="2" t="s">
        <v>631</v>
      </c>
      <c r="C309" s="4" t="str">
        <f>TRIM(CLEAN(PROPER(tblClean[[#This Row],[Transaction Description]])))</f>
        <v>Check Clearly Follow Remember Generation.</v>
      </c>
      <c r="D309" s="2" t="s">
        <v>35</v>
      </c>
      <c r="E309" s="3" t="str">
        <f>TRIM(CLEAN(PROPER(tblClean[[#This Row],[Category]])))</f>
        <v>Health &amp; Fitness</v>
      </c>
      <c r="F309" s="11" t="s">
        <v>632</v>
      </c>
      <c r="G309" s="2" t="s">
        <v>8</v>
      </c>
      <c r="H309" s="15">
        <f>MONTH(tblClean[[#This Row],[Date]])</f>
        <v>1</v>
      </c>
      <c r="I309" s="15">
        <f>YEAR(tblClean[[#This Row],[Date]])</f>
        <v>2021</v>
      </c>
    </row>
    <row r="310" spans="1:9" x14ac:dyDescent="0.25">
      <c r="A310" s="6">
        <v>44220</v>
      </c>
      <c r="B310" s="1" t="s">
        <v>633</v>
      </c>
      <c r="C310" s="3" t="str">
        <f>TRIM(CLEAN(PROPER(tblClean[[#This Row],[Transaction Description]])))</f>
        <v>Suffer Economy Play.</v>
      </c>
      <c r="D310" s="1" t="s">
        <v>27</v>
      </c>
      <c r="E310" s="3" t="str">
        <f>TRIM(CLEAN(PROPER(tblClean[[#This Row],[Category]])))</f>
        <v>Other</v>
      </c>
      <c r="F310" s="10" t="s">
        <v>634</v>
      </c>
      <c r="G310" s="1" t="s">
        <v>18</v>
      </c>
      <c r="H310" s="15">
        <f>MONTH(tblClean[[#This Row],[Date]])</f>
        <v>1</v>
      </c>
      <c r="I310" s="15">
        <f>YEAR(tblClean[[#This Row],[Date]])</f>
        <v>2021</v>
      </c>
    </row>
    <row r="311" spans="1:9" x14ac:dyDescent="0.25">
      <c r="A311" s="7">
        <v>44222</v>
      </c>
      <c r="B311" s="2" t="s">
        <v>635</v>
      </c>
      <c r="C311" s="4" t="str">
        <f>TRIM(CLEAN(PROPER(tblClean[[#This Row],[Transaction Description]])))</f>
        <v>By Field Move.</v>
      </c>
      <c r="D311" s="2" t="s">
        <v>6</v>
      </c>
      <c r="E311" s="3" t="str">
        <f>TRIM(CLEAN(PROPER(tblClean[[#This Row],[Category]])))</f>
        <v>Food &amp; Drink</v>
      </c>
      <c r="F311" s="11" t="s">
        <v>636</v>
      </c>
      <c r="G311" s="2" t="s">
        <v>8</v>
      </c>
      <c r="H311" s="15">
        <f>MONTH(tblClean[[#This Row],[Date]])</f>
        <v>1</v>
      </c>
      <c r="I311" s="15">
        <f>YEAR(tblClean[[#This Row],[Date]])</f>
        <v>2021</v>
      </c>
    </row>
    <row r="312" spans="1:9" x14ac:dyDescent="0.25">
      <c r="A312" s="6">
        <v>44223</v>
      </c>
      <c r="B312" s="1" t="s">
        <v>637</v>
      </c>
      <c r="C312" s="3" t="str">
        <f>TRIM(CLEAN(PROPER(tblClean[[#This Row],[Transaction Description]])))</f>
        <v>Option Oil Commercial.</v>
      </c>
      <c r="D312" s="1" t="s">
        <v>35</v>
      </c>
      <c r="E312" s="3" t="str">
        <f>TRIM(CLEAN(PROPER(tblClean[[#This Row],[Category]])))</f>
        <v>Health &amp; Fitness</v>
      </c>
      <c r="F312" s="10" t="s">
        <v>638</v>
      </c>
      <c r="G312" s="1" t="s">
        <v>8</v>
      </c>
      <c r="H312" s="15">
        <f>MONTH(tblClean[[#This Row],[Date]])</f>
        <v>1</v>
      </c>
      <c r="I312" s="15">
        <f>YEAR(tblClean[[#This Row],[Date]])</f>
        <v>2021</v>
      </c>
    </row>
    <row r="313" spans="1:9" x14ac:dyDescent="0.25">
      <c r="A313" s="7">
        <v>44223</v>
      </c>
      <c r="B313" s="2" t="s">
        <v>643</v>
      </c>
      <c r="C313" s="4" t="str">
        <f>TRIM(CLEAN(PROPER(tblClean[[#This Row],[Transaction Description]])))</f>
        <v>Nation Politics Few Each Southern.</v>
      </c>
      <c r="D313" s="2" t="s">
        <v>35</v>
      </c>
      <c r="E313" s="3" t="str">
        <f>TRIM(CLEAN(PROPER(tblClean[[#This Row],[Category]])))</f>
        <v>Health &amp; Fitness</v>
      </c>
      <c r="F313" s="11" t="s">
        <v>644</v>
      </c>
      <c r="G313" s="2" t="s">
        <v>8</v>
      </c>
      <c r="H313" s="15">
        <f>MONTH(tblClean[[#This Row],[Date]])</f>
        <v>1</v>
      </c>
      <c r="I313" s="15">
        <f>YEAR(tblClean[[#This Row],[Date]])</f>
        <v>2021</v>
      </c>
    </row>
    <row r="314" spans="1:9" x14ac:dyDescent="0.25">
      <c r="A314" s="7">
        <v>44223</v>
      </c>
      <c r="B314" s="2" t="s">
        <v>639</v>
      </c>
      <c r="C314" s="4" t="str">
        <f>TRIM(CLEAN(PROPER(tblClean[[#This Row],[Transaction Description]])))</f>
        <v>American Tell Ball We Side.</v>
      </c>
      <c r="D314" s="2" t="s">
        <v>27</v>
      </c>
      <c r="E314" s="3" t="str">
        <f>TRIM(CLEAN(PROPER(tblClean[[#This Row],[Category]])))</f>
        <v>Other</v>
      </c>
      <c r="F314" s="11" t="s">
        <v>640</v>
      </c>
      <c r="G314" s="2" t="s">
        <v>18</v>
      </c>
      <c r="H314" s="15">
        <f>MONTH(tblClean[[#This Row],[Date]])</f>
        <v>1</v>
      </c>
      <c r="I314" s="15">
        <f>YEAR(tblClean[[#This Row],[Date]])</f>
        <v>2021</v>
      </c>
    </row>
    <row r="315" spans="1:9" x14ac:dyDescent="0.25">
      <c r="A315" s="6">
        <v>44223</v>
      </c>
      <c r="B315" s="1" t="s">
        <v>641</v>
      </c>
      <c r="C315" s="3" t="str">
        <f>TRIM(CLEAN(PROPER(tblClean[[#This Row],[Transaction Description]])))</f>
        <v>Short Indicate Police.</v>
      </c>
      <c r="D315" s="1" t="s">
        <v>10</v>
      </c>
      <c r="E315" s="3" t="str">
        <f>TRIM(CLEAN(PROPER(tblClean[[#This Row],[Category]])))</f>
        <v>Utilities</v>
      </c>
      <c r="F315" s="10" t="s">
        <v>642</v>
      </c>
      <c r="G315" s="1" t="s">
        <v>8</v>
      </c>
      <c r="H315" s="15">
        <f>MONTH(tblClean[[#This Row],[Date]])</f>
        <v>1</v>
      </c>
      <c r="I315" s="15">
        <f>YEAR(tblClean[[#This Row],[Date]])</f>
        <v>2021</v>
      </c>
    </row>
    <row r="316" spans="1:9" x14ac:dyDescent="0.25">
      <c r="A316" s="6">
        <v>44225</v>
      </c>
      <c r="B316" s="1" t="s">
        <v>645</v>
      </c>
      <c r="C316" s="3" t="str">
        <f>TRIM(CLEAN(PROPER(tblClean[[#This Row],[Transaction Description]])))</f>
        <v>Law Read Citizen.</v>
      </c>
      <c r="D316" s="1" t="s">
        <v>10</v>
      </c>
      <c r="E316" s="3" t="str">
        <f>TRIM(CLEAN(PROPER(tblClean[[#This Row],[Category]])))</f>
        <v>Utilities</v>
      </c>
      <c r="F316" s="10" t="s">
        <v>646</v>
      </c>
      <c r="G316" s="1" t="s">
        <v>8</v>
      </c>
      <c r="H316" s="15">
        <f>MONTH(tblClean[[#This Row],[Date]])</f>
        <v>1</v>
      </c>
      <c r="I316" s="15">
        <f>YEAR(tblClean[[#This Row],[Date]])</f>
        <v>2021</v>
      </c>
    </row>
    <row r="317" spans="1:9" x14ac:dyDescent="0.25">
      <c r="A317" s="7">
        <v>44229</v>
      </c>
      <c r="B317" s="2" t="s">
        <v>647</v>
      </c>
      <c r="C317" s="4" t="str">
        <f>TRIM(CLEAN(PROPER(tblClean[[#This Row],[Transaction Description]])))</f>
        <v>Less Future Century Technology.</v>
      </c>
      <c r="D317" s="2" t="s">
        <v>38</v>
      </c>
      <c r="E317" s="3" t="str">
        <f>TRIM(CLEAN(PROPER(tblClean[[#This Row],[Category]])))</f>
        <v>Salary</v>
      </c>
      <c r="F317" s="11" t="s">
        <v>648</v>
      </c>
      <c r="G317" s="2" t="s">
        <v>8</v>
      </c>
      <c r="H317" s="15">
        <f>MONTH(tblClean[[#This Row],[Date]])</f>
        <v>2</v>
      </c>
      <c r="I317" s="15">
        <f>YEAR(tblClean[[#This Row],[Date]])</f>
        <v>2021</v>
      </c>
    </row>
    <row r="318" spans="1:9" x14ac:dyDescent="0.25">
      <c r="A318" s="6">
        <v>44232</v>
      </c>
      <c r="B318" s="1" t="s">
        <v>649</v>
      </c>
      <c r="C318" s="3" t="str">
        <f>TRIM(CLEAN(PROPER(tblClean[[#This Row],[Transaction Description]])))</f>
        <v>Wish Candidate Have No.</v>
      </c>
      <c r="D318" s="1" t="s">
        <v>35</v>
      </c>
      <c r="E318" s="3" t="str">
        <f>TRIM(CLEAN(PROPER(tblClean[[#This Row],[Category]])))</f>
        <v>Health &amp; Fitness</v>
      </c>
      <c r="F318" s="10" t="s">
        <v>650</v>
      </c>
      <c r="G318" s="1" t="s">
        <v>8</v>
      </c>
      <c r="H318" s="15">
        <f>MONTH(tblClean[[#This Row],[Date]])</f>
        <v>2</v>
      </c>
      <c r="I318" s="15">
        <f>YEAR(tblClean[[#This Row],[Date]])</f>
        <v>2021</v>
      </c>
    </row>
    <row r="319" spans="1:9" x14ac:dyDescent="0.25">
      <c r="A319" s="7">
        <v>44232</v>
      </c>
      <c r="B319" s="2" t="s">
        <v>651</v>
      </c>
      <c r="C319" s="4" t="str">
        <f>TRIM(CLEAN(PROPER(tblClean[[#This Row],[Transaction Description]])))</f>
        <v>Letter Environment Easy.</v>
      </c>
      <c r="D319" s="2" t="s">
        <v>13</v>
      </c>
      <c r="E319" s="3" t="str">
        <f>TRIM(CLEAN(PROPER(tblClean[[#This Row],[Category]])))</f>
        <v>Rent</v>
      </c>
      <c r="F319" s="11" t="s">
        <v>652</v>
      </c>
      <c r="G319" s="2" t="s">
        <v>8</v>
      </c>
      <c r="H319" s="15">
        <f>MONTH(tblClean[[#This Row],[Date]])</f>
        <v>2</v>
      </c>
      <c r="I319" s="15">
        <f>YEAR(tblClean[[#This Row],[Date]])</f>
        <v>2021</v>
      </c>
    </row>
    <row r="320" spans="1:9" x14ac:dyDescent="0.25">
      <c r="A320" s="7">
        <v>44235</v>
      </c>
      <c r="B320" s="2" t="s">
        <v>655</v>
      </c>
      <c r="C320" s="4" t="str">
        <f>TRIM(CLEAN(PROPER(tblClean[[#This Row],[Transaction Description]])))</f>
        <v>While Total Spend.</v>
      </c>
      <c r="D320" s="2" t="s">
        <v>35</v>
      </c>
      <c r="E320" s="3" t="str">
        <f>TRIM(CLEAN(PROPER(tblClean[[#This Row],[Category]])))</f>
        <v>Health &amp; Fitness</v>
      </c>
      <c r="F320" s="11" t="s">
        <v>656</v>
      </c>
      <c r="G320" s="2" t="s">
        <v>8</v>
      </c>
      <c r="H320" s="15">
        <f>MONTH(tblClean[[#This Row],[Date]])</f>
        <v>2</v>
      </c>
      <c r="I320" s="15">
        <f>YEAR(tblClean[[#This Row],[Date]])</f>
        <v>2021</v>
      </c>
    </row>
    <row r="321" spans="1:9" x14ac:dyDescent="0.25">
      <c r="A321" s="6">
        <v>44235</v>
      </c>
      <c r="B321" s="1" t="s">
        <v>653</v>
      </c>
      <c r="C321" s="3" t="str">
        <f>TRIM(CLEAN(PROPER(tblClean[[#This Row],[Transaction Description]])))</f>
        <v>Face His.</v>
      </c>
      <c r="D321" s="1" t="s">
        <v>22</v>
      </c>
      <c r="E321" s="3" t="str">
        <f>TRIM(CLEAN(PROPER(tblClean[[#This Row],[Category]])))</f>
        <v>Shopping</v>
      </c>
      <c r="F321" s="10" t="s">
        <v>654</v>
      </c>
      <c r="G321" s="1" t="s">
        <v>8</v>
      </c>
      <c r="H321" s="15">
        <f>MONTH(tblClean[[#This Row],[Date]])</f>
        <v>2</v>
      </c>
      <c r="I321" s="15">
        <f>YEAR(tblClean[[#This Row],[Date]])</f>
        <v>2021</v>
      </c>
    </row>
    <row r="322" spans="1:9" x14ac:dyDescent="0.25">
      <c r="A322" s="6">
        <v>44236</v>
      </c>
      <c r="B322" s="1" t="s">
        <v>657</v>
      </c>
      <c r="C322" s="3" t="str">
        <f>TRIM(CLEAN(PROPER(tblClean[[#This Row],[Transaction Description]])))</f>
        <v>Couple City You Level.</v>
      </c>
      <c r="D322" s="1" t="s">
        <v>53</v>
      </c>
      <c r="E322" s="3" t="str">
        <f>TRIM(CLEAN(PROPER(tblClean[[#This Row],[Category]])))</f>
        <v>Travel</v>
      </c>
      <c r="F322" s="10" t="s">
        <v>658</v>
      </c>
      <c r="G322" s="1" t="s">
        <v>8</v>
      </c>
      <c r="H322" s="15">
        <f>MONTH(tblClean[[#This Row],[Date]])</f>
        <v>2</v>
      </c>
      <c r="I322" s="15">
        <f>YEAR(tblClean[[#This Row],[Date]])</f>
        <v>2021</v>
      </c>
    </row>
    <row r="323" spans="1:9" x14ac:dyDescent="0.25">
      <c r="A323" s="7">
        <v>44236</v>
      </c>
      <c r="B323" s="2" t="s">
        <v>659</v>
      </c>
      <c r="C323" s="4" t="str">
        <f>TRIM(CLEAN(PROPER(tblClean[[#This Row],[Transaction Description]])))</f>
        <v>Age War Measure Whom.</v>
      </c>
      <c r="D323" s="2" t="s">
        <v>53</v>
      </c>
      <c r="E323" s="3" t="str">
        <f>TRIM(CLEAN(PROPER(tblClean[[#This Row],[Category]])))</f>
        <v>Travel</v>
      </c>
      <c r="F323" s="11" t="s">
        <v>660</v>
      </c>
      <c r="G323" s="2" t="s">
        <v>8</v>
      </c>
      <c r="H323" s="15">
        <f>MONTH(tblClean[[#This Row],[Date]])</f>
        <v>2</v>
      </c>
      <c r="I323" s="15">
        <f>YEAR(tblClean[[#This Row],[Date]])</f>
        <v>2021</v>
      </c>
    </row>
    <row r="324" spans="1:9" x14ac:dyDescent="0.25">
      <c r="A324" s="7">
        <v>44238</v>
      </c>
      <c r="B324" s="2" t="s">
        <v>663</v>
      </c>
      <c r="C324" s="4" t="str">
        <f>TRIM(CLEAN(PROPER(tblClean[[#This Row],[Transaction Description]])))</f>
        <v>Mr Suggest Issue.</v>
      </c>
      <c r="D324" s="2" t="s">
        <v>6</v>
      </c>
      <c r="E324" s="3" t="str">
        <f>TRIM(CLEAN(PROPER(tblClean[[#This Row],[Category]])))</f>
        <v>Food &amp; Drink</v>
      </c>
      <c r="F324" s="11" t="s">
        <v>664</v>
      </c>
      <c r="G324" s="2" t="s">
        <v>8</v>
      </c>
      <c r="H324" s="15">
        <f>MONTH(tblClean[[#This Row],[Date]])</f>
        <v>2</v>
      </c>
      <c r="I324" s="15">
        <f>YEAR(tblClean[[#This Row],[Date]])</f>
        <v>2021</v>
      </c>
    </row>
    <row r="325" spans="1:9" x14ac:dyDescent="0.25">
      <c r="A325" s="6">
        <v>44238</v>
      </c>
      <c r="B325" s="1" t="s">
        <v>661</v>
      </c>
      <c r="C325" s="3" t="str">
        <f>TRIM(CLEAN(PROPER(tblClean[[#This Row],[Transaction Description]])))</f>
        <v>Good Anything Manager Think Pressure.</v>
      </c>
      <c r="D325" s="1" t="s">
        <v>35</v>
      </c>
      <c r="E325" s="3" t="str">
        <f>TRIM(CLEAN(PROPER(tblClean[[#This Row],[Category]])))</f>
        <v>Health &amp; Fitness</v>
      </c>
      <c r="F325" s="10" t="s">
        <v>662</v>
      </c>
      <c r="G325" s="1" t="s">
        <v>8</v>
      </c>
      <c r="H325" s="15">
        <f>MONTH(tblClean[[#This Row],[Date]])</f>
        <v>2</v>
      </c>
      <c r="I325" s="15">
        <f>YEAR(tblClean[[#This Row],[Date]])</f>
        <v>2021</v>
      </c>
    </row>
    <row r="326" spans="1:9" x14ac:dyDescent="0.25">
      <c r="A326" s="6">
        <v>44240</v>
      </c>
      <c r="B326" s="1" t="s">
        <v>665</v>
      </c>
      <c r="C326" s="3" t="str">
        <f>TRIM(CLEAN(PROPER(tblClean[[#This Row],[Transaction Description]])))</f>
        <v>Shake Hand Hundred Now.</v>
      </c>
      <c r="D326" s="1" t="s">
        <v>35</v>
      </c>
      <c r="E326" s="3" t="str">
        <f>TRIM(CLEAN(PROPER(tblClean[[#This Row],[Category]])))</f>
        <v>Health &amp; Fitness</v>
      </c>
      <c r="F326" s="10" t="s">
        <v>666</v>
      </c>
      <c r="G326" s="1" t="s">
        <v>8</v>
      </c>
      <c r="H326" s="15">
        <f>MONTH(tblClean[[#This Row],[Date]])</f>
        <v>2</v>
      </c>
      <c r="I326" s="15">
        <f>YEAR(tblClean[[#This Row],[Date]])</f>
        <v>2021</v>
      </c>
    </row>
    <row r="327" spans="1:9" x14ac:dyDescent="0.25">
      <c r="A327" s="7">
        <v>44243</v>
      </c>
      <c r="B327" s="2" t="s">
        <v>667</v>
      </c>
      <c r="C327" s="4" t="str">
        <f>TRIM(CLEAN(PROPER(tblClean[[#This Row],[Transaction Description]])))</f>
        <v>Network Available Mean Share.</v>
      </c>
      <c r="D327" s="2" t="s">
        <v>13</v>
      </c>
      <c r="E327" s="3" t="str">
        <f>TRIM(CLEAN(PROPER(tblClean[[#This Row],[Category]])))</f>
        <v>Rent</v>
      </c>
      <c r="F327" s="11" t="s">
        <v>668</v>
      </c>
      <c r="G327" s="2" t="s">
        <v>8</v>
      </c>
      <c r="H327" s="15">
        <f>MONTH(tblClean[[#This Row],[Date]])</f>
        <v>2</v>
      </c>
      <c r="I327" s="15">
        <f>YEAR(tblClean[[#This Row],[Date]])</f>
        <v>2021</v>
      </c>
    </row>
    <row r="328" spans="1:9" x14ac:dyDescent="0.25">
      <c r="A328" s="6">
        <v>44245</v>
      </c>
      <c r="B328" s="1" t="s">
        <v>669</v>
      </c>
      <c r="C328" s="3" t="str">
        <f>TRIM(CLEAN(PROPER(tblClean[[#This Row],[Transaction Description]])))</f>
        <v>Quite Budget Window Hour Some.</v>
      </c>
      <c r="D328" s="1" t="s">
        <v>53</v>
      </c>
      <c r="E328" s="3" t="str">
        <f>TRIM(CLEAN(PROPER(tblClean[[#This Row],[Category]])))</f>
        <v>Travel</v>
      </c>
      <c r="F328" s="10" t="s">
        <v>670</v>
      </c>
      <c r="G328" s="1" t="s">
        <v>8</v>
      </c>
      <c r="H328" s="15">
        <f>MONTH(tblClean[[#This Row],[Date]])</f>
        <v>2</v>
      </c>
      <c r="I328" s="15">
        <f>YEAR(tblClean[[#This Row],[Date]])</f>
        <v>2021</v>
      </c>
    </row>
    <row r="329" spans="1:9" x14ac:dyDescent="0.25">
      <c r="A329" s="7">
        <v>44246</v>
      </c>
      <c r="B329" s="2" t="s">
        <v>671</v>
      </c>
      <c r="C329" s="4" t="str">
        <f>TRIM(CLEAN(PROPER(tblClean[[#This Row],[Transaction Description]])))</f>
        <v>Voice Sense Current Meeting Matter.</v>
      </c>
      <c r="D329" s="2" t="s">
        <v>16</v>
      </c>
      <c r="E329" s="3" t="str">
        <f>TRIM(CLEAN(PROPER(tblClean[[#This Row],[Category]])))</f>
        <v>Investment</v>
      </c>
      <c r="F329" s="11" t="s">
        <v>672</v>
      </c>
      <c r="G329" s="2" t="s">
        <v>18</v>
      </c>
      <c r="H329" s="15">
        <f>MONTH(tblClean[[#This Row],[Date]])</f>
        <v>2</v>
      </c>
      <c r="I329" s="15">
        <f>YEAR(tblClean[[#This Row],[Date]])</f>
        <v>2021</v>
      </c>
    </row>
    <row r="330" spans="1:9" x14ac:dyDescent="0.25">
      <c r="A330" s="6">
        <v>44247</v>
      </c>
      <c r="B330" s="1" t="s">
        <v>673</v>
      </c>
      <c r="C330" s="3" t="str">
        <f>TRIM(CLEAN(PROPER(tblClean[[#This Row],[Transaction Description]])))</f>
        <v>Case Four.</v>
      </c>
      <c r="D330" s="1" t="s">
        <v>38</v>
      </c>
      <c r="E330" s="3" t="str">
        <f>TRIM(CLEAN(PROPER(tblClean[[#This Row],[Category]])))</f>
        <v>Salary</v>
      </c>
      <c r="F330" s="10" t="s">
        <v>674</v>
      </c>
      <c r="G330" s="1" t="s">
        <v>8</v>
      </c>
      <c r="H330" s="15">
        <f>MONTH(tblClean[[#This Row],[Date]])</f>
        <v>2</v>
      </c>
      <c r="I330" s="15">
        <f>YEAR(tblClean[[#This Row],[Date]])</f>
        <v>2021</v>
      </c>
    </row>
    <row r="331" spans="1:9" x14ac:dyDescent="0.25">
      <c r="A331" s="7">
        <v>44248</v>
      </c>
      <c r="B331" s="2" t="s">
        <v>675</v>
      </c>
      <c r="C331" s="4" t="str">
        <f>TRIM(CLEAN(PROPER(tblClean[[#This Row],[Transaction Description]])))</f>
        <v>Lead Paper Middle Foreign Party.</v>
      </c>
      <c r="D331" s="2" t="s">
        <v>10</v>
      </c>
      <c r="E331" s="3" t="str">
        <f>TRIM(CLEAN(PROPER(tblClean[[#This Row],[Category]])))</f>
        <v>Utilities</v>
      </c>
      <c r="F331" s="11" t="s">
        <v>676</v>
      </c>
      <c r="G331" s="2" t="s">
        <v>8</v>
      </c>
      <c r="H331" s="15">
        <f>MONTH(tblClean[[#This Row],[Date]])</f>
        <v>2</v>
      </c>
      <c r="I331" s="15">
        <f>YEAR(tblClean[[#This Row],[Date]])</f>
        <v>2021</v>
      </c>
    </row>
    <row r="332" spans="1:9" x14ac:dyDescent="0.25">
      <c r="A332" s="6">
        <v>44250</v>
      </c>
      <c r="B332" s="1" t="s">
        <v>677</v>
      </c>
      <c r="C332" s="3" t="str">
        <f>TRIM(CLEAN(PROPER(tblClean[[#This Row],[Transaction Description]])))</f>
        <v>Wrong School Federal From.</v>
      </c>
      <c r="D332" s="1" t="s">
        <v>22</v>
      </c>
      <c r="E332" s="3" t="str">
        <f>TRIM(CLEAN(PROPER(tblClean[[#This Row],[Category]])))</f>
        <v>Shopping</v>
      </c>
      <c r="F332" s="10" t="s">
        <v>678</v>
      </c>
      <c r="G332" s="1" t="s">
        <v>8</v>
      </c>
      <c r="H332" s="15">
        <f>MONTH(tblClean[[#This Row],[Date]])</f>
        <v>2</v>
      </c>
      <c r="I332" s="15">
        <f>YEAR(tblClean[[#This Row],[Date]])</f>
        <v>2021</v>
      </c>
    </row>
    <row r="333" spans="1:9" x14ac:dyDescent="0.25">
      <c r="A333" s="7">
        <v>44251</v>
      </c>
      <c r="B333" s="2" t="s">
        <v>679</v>
      </c>
      <c r="C333" s="4" t="str">
        <f>TRIM(CLEAN(PROPER(tblClean[[#This Row],[Transaction Description]])))</f>
        <v>Majority None Little Admit Former.</v>
      </c>
      <c r="D333" s="2" t="s">
        <v>22</v>
      </c>
      <c r="E333" s="3" t="str">
        <f>TRIM(CLEAN(PROPER(tblClean[[#This Row],[Category]])))</f>
        <v>Shopping</v>
      </c>
      <c r="F333" s="11" t="s">
        <v>680</v>
      </c>
      <c r="G333" s="2" t="s">
        <v>8</v>
      </c>
      <c r="H333" s="15">
        <f>MONTH(tblClean[[#This Row],[Date]])</f>
        <v>2</v>
      </c>
      <c r="I333" s="15">
        <f>YEAR(tblClean[[#This Row],[Date]])</f>
        <v>2021</v>
      </c>
    </row>
    <row r="334" spans="1:9" x14ac:dyDescent="0.25">
      <c r="A334" s="6">
        <v>44254</v>
      </c>
      <c r="B334" s="1" t="s">
        <v>681</v>
      </c>
      <c r="C334" s="3" t="str">
        <f>TRIM(CLEAN(PROPER(tblClean[[#This Row],[Transaction Description]])))</f>
        <v>On Someone Rise Read.</v>
      </c>
      <c r="D334" s="1" t="s">
        <v>22</v>
      </c>
      <c r="E334" s="3" t="str">
        <f>TRIM(CLEAN(PROPER(tblClean[[#This Row],[Category]])))</f>
        <v>Shopping</v>
      </c>
      <c r="F334" s="10" t="s">
        <v>682</v>
      </c>
      <c r="G334" s="1" t="s">
        <v>8</v>
      </c>
      <c r="H334" s="15">
        <f>MONTH(tblClean[[#This Row],[Date]])</f>
        <v>2</v>
      </c>
      <c r="I334" s="15">
        <f>YEAR(tblClean[[#This Row],[Date]])</f>
        <v>2021</v>
      </c>
    </row>
    <row r="335" spans="1:9" x14ac:dyDescent="0.25">
      <c r="A335" s="7">
        <v>44255</v>
      </c>
      <c r="B335" s="2" t="s">
        <v>683</v>
      </c>
      <c r="C335" s="4" t="str">
        <f>TRIM(CLEAN(PROPER(tblClean[[#This Row],[Transaction Description]])))</f>
        <v>Listen Whose Situation Simply Officer.</v>
      </c>
      <c r="D335" s="2" t="s">
        <v>35</v>
      </c>
      <c r="E335" s="3" t="str">
        <f>TRIM(CLEAN(PROPER(tblClean[[#This Row],[Category]])))</f>
        <v>Health &amp; Fitness</v>
      </c>
      <c r="F335" s="11" t="s">
        <v>684</v>
      </c>
      <c r="G335" s="2" t="s">
        <v>8</v>
      </c>
      <c r="H335" s="15">
        <f>MONTH(tblClean[[#This Row],[Date]])</f>
        <v>2</v>
      </c>
      <c r="I335" s="15">
        <f>YEAR(tblClean[[#This Row],[Date]])</f>
        <v>2021</v>
      </c>
    </row>
    <row r="336" spans="1:9" x14ac:dyDescent="0.25">
      <c r="A336" s="6">
        <v>44257</v>
      </c>
      <c r="B336" s="1" t="s">
        <v>685</v>
      </c>
      <c r="C336" s="3" t="str">
        <f>TRIM(CLEAN(PROPER(tblClean[[#This Row],[Transaction Description]])))</f>
        <v>Lose Modern Return Simple Herself.</v>
      </c>
      <c r="D336" s="1" t="s">
        <v>30</v>
      </c>
      <c r="E336" s="3" t="str">
        <f>TRIM(CLEAN(PROPER(tblClean[[#This Row],[Category]])))</f>
        <v>Entertainment</v>
      </c>
      <c r="F336" s="10" t="s">
        <v>686</v>
      </c>
      <c r="G336" s="1" t="s">
        <v>8</v>
      </c>
      <c r="H336" s="15">
        <f>MONTH(tblClean[[#This Row],[Date]])</f>
        <v>3</v>
      </c>
      <c r="I336" s="15">
        <f>YEAR(tblClean[[#This Row],[Date]])</f>
        <v>2021</v>
      </c>
    </row>
    <row r="337" spans="1:9" x14ac:dyDescent="0.25">
      <c r="A337" s="6">
        <v>44257</v>
      </c>
      <c r="B337" s="1" t="s">
        <v>689</v>
      </c>
      <c r="C337" s="3" t="str">
        <f>TRIM(CLEAN(PROPER(tblClean[[#This Row],[Transaction Description]])))</f>
        <v>Kid Industry.</v>
      </c>
      <c r="D337" s="1" t="s">
        <v>35</v>
      </c>
      <c r="E337" s="3" t="str">
        <f>TRIM(CLEAN(PROPER(tblClean[[#This Row],[Category]])))</f>
        <v>Health &amp; Fitness</v>
      </c>
      <c r="F337" s="10" t="s">
        <v>690</v>
      </c>
      <c r="G337" s="1" t="s">
        <v>8</v>
      </c>
      <c r="H337" s="15">
        <f>MONTH(tblClean[[#This Row],[Date]])</f>
        <v>3</v>
      </c>
      <c r="I337" s="15">
        <f>YEAR(tblClean[[#This Row],[Date]])</f>
        <v>2021</v>
      </c>
    </row>
    <row r="338" spans="1:9" x14ac:dyDescent="0.25">
      <c r="A338" s="7">
        <v>44257</v>
      </c>
      <c r="B338" s="2" t="s">
        <v>687</v>
      </c>
      <c r="C338" s="4" t="str">
        <f>TRIM(CLEAN(PROPER(tblClean[[#This Row],[Transaction Description]])))</f>
        <v>Occur Red.</v>
      </c>
      <c r="D338" s="2" t="s">
        <v>27</v>
      </c>
      <c r="E338" s="3" t="str">
        <f>TRIM(CLEAN(PROPER(tblClean[[#This Row],[Category]])))</f>
        <v>Other</v>
      </c>
      <c r="F338" s="11" t="s">
        <v>688</v>
      </c>
      <c r="G338" s="2" t="s">
        <v>18</v>
      </c>
      <c r="H338" s="15">
        <f>MONTH(tblClean[[#This Row],[Date]])</f>
        <v>3</v>
      </c>
      <c r="I338" s="15">
        <f>YEAR(tblClean[[#This Row],[Date]])</f>
        <v>2021</v>
      </c>
    </row>
    <row r="339" spans="1:9" x14ac:dyDescent="0.25">
      <c r="A339" s="7">
        <v>44259</v>
      </c>
      <c r="B339" s="2" t="s">
        <v>691</v>
      </c>
      <c r="C339" s="4" t="str">
        <f>TRIM(CLEAN(PROPER(tblClean[[#This Row],[Transaction Description]])))</f>
        <v>Improve Simple Turn.</v>
      </c>
      <c r="D339" s="2" t="s">
        <v>13</v>
      </c>
      <c r="E339" s="3" t="str">
        <f>TRIM(CLEAN(PROPER(tblClean[[#This Row],[Category]])))</f>
        <v>Rent</v>
      </c>
      <c r="F339" s="11" t="s">
        <v>692</v>
      </c>
      <c r="G339" s="2" t="s">
        <v>8</v>
      </c>
      <c r="H339" s="15">
        <f>MONTH(tblClean[[#This Row],[Date]])</f>
        <v>3</v>
      </c>
      <c r="I339" s="15">
        <f>YEAR(tblClean[[#This Row],[Date]])</f>
        <v>2021</v>
      </c>
    </row>
    <row r="340" spans="1:9" x14ac:dyDescent="0.25">
      <c r="A340" s="7">
        <v>44260</v>
      </c>
      <c r="B340" s="2" t="s">
        <v>695</v>
      </c>
      <c r="C340" s="4" t="str">
        <f>TRIM(CLEAN(PROPER(tblClean[[#This Row],[Transaction Description]])))</f>
        <v>Heavy What Least Mouth National.</v>
      </c>
      <c r="D340" s="2" t="s">
        <v>6</v>
      </c>
      <c r="E340" s="3" t="str">
        <f>TRIM(CLEAN(PROPER(tblClean[[#This Row],[Category]])))</f>
        <v>Food &amp; Drink</v>
      </c>
      <c r="F340" s="11" t="s">
        <v>696</v>
      </c>
      <c r="G340" s="2" t="s">
        <v>8</v>
      </c>
      <c r="H340" s="15">
        <f>MONTH(tblClean[[#This Row],[Date]])</f>
        <v>3</v>
      </c>
      <c r="I340" s="15">
        <f>YEAR(tblClean[[#This Row],[Date]])</f>
        <v>2021</v>
      </c>
    </row>
    <row r="341" spans="1:9" x14ac:dyDescent="0.25">
      <c r="A341" s="6">
        <v>44260</v>
      </c>
      <c r="B341" s="1" t="s">
        <v>693</v>
      </c>
      <c r="C341" s="3" t="str">
        <f>TRIM(CLEAN(PROPER(tblClean[[#This Row],[Transaction Description]])))</f>
        <v>Million Night Your.</v>
      </c>
      <c r="D341" s="1" t="s">
        <v>13</v>
      </c>
      <c r="E341" s="3" t="str">
        <f>TRIM(CLEAN(PROPER(tblClean[[#This Row],[Category]])))</f>
        <v>Rent</v>
      </c>
      <c r="F341" s="10" t="s">
        <v>694</v>
      </c>
      <c r="G341" s="1" t="s">
        <v>8</v>
      </c>
      <c r="H341" s="15">
        <f>MONTH(tblClean[[#This Row],[Date]])</f>
        <v>3</v>
      </c>
      <c r="I341" s="15">
        <f>YEAR(tblClean[[#This Row],[Date]])</f>
        <v>2021</v>
      </c>
    </row>
    <row r="342" spans="1:9" x14ac:dyDescent="0.25">
      <c r="A342" s="7">
        <v>44262</v>
      </c>
      <c r="B342" s="2" t="s">
        <v>699</v>
      </c>
      <c r="C342" s="4" t="str">
        <f>TRIM(CLEAN(PROPER(tblClean[[#This Row],[Transaction Description]])))</f>
        <v>Relate Real Major.</v>
      </c>
      <c r="D342" s="2" t="s">
        <v>30</v>
      </c>
      <c r="E342" s="3" t="str">
        <f>TRIM(CLEAN(PROPER(tblClean[[#This Row],[Category]])))</f>
        <v>Entertainment</v>
      </c>
      <c r="F342" s="11" t="s">
        <v>700</v>
      </c>
      <c r="G342" s="2" t="s">
        <v>8</v>
      </c>
      <c r="H342" s="15">
        <f>MONTH(tblClean[[#This Row],[Date]])</f>
        <v>3</v>
      </c>
      <c r="I342" s="15">
        <f>YEAR(tblClean[[#This Row],[Date]])</f>
        <v>2021</v>
      </c>
    </row>
    <row r="343" spans="1:9" x14ac:dyDescent="0.25">
      <c r="A343" s="6">
        <v>44262</v>
      </c>
      <c r="B343" s="1" t="s">
        <v>697</v>
      </c>
      <c r="C343" s="3" t="str">
        <f>TRIM(CLEAN(PROPER(tblClean[[#This Row],[Transaction Description]])))</f>
        <v>Machine Whatever Everything Fear Walk.</v>
      </c>
      <c r="D343" s="1" t="s">
        <v>10</v>
      </c>
      <c r="E343" s="3" t="str">
        <f>TRIM(CLEAN(PROPER(tblClean[[#This Row],[Category]])))</f>
        <v>Utilities</v>
      </c>
      <c r="F343" s="10" t="s">
        <v>698</v>
      </c>
      <c r="G343" s="1" t="s">
        <v>8</v>
      </c>
      <c r="H343" s="15">
        <f>MONTH(tblClean[[#This Row],[Date]])</f>
        <v>3</v>
      </c>
      <c r="I343" s="15">
        <f>YEAR(tblClean[[#This Row],[Date]])</f>
        <v>2021</v>
      </c>
    </row>
    <row r="344" spans="1:9" x14ac:dyDescent="0.25">
      <c r="A344" s="6">
        <v>44263</v>
      </c>
      <c r="B344" s="1" t="s">
        <v>701</v>
      </c>
      <c r="C344" s="3" t="str">
        <f>TRIM(CLEAN(PROPER(tblClean[[#This Row],[Transaction Description]])))</f>
        <v>Night Various Return Explain.</v>
      </c>
      <c r="D344" s="1" t="s">
        <v>30</v>
      </c>
      <c r="E344" s="3" t="str">
        <f>TRIM(CLEAN(PROPER(tblClean[[#This Row],[Category]])))</f>
        <v>Entertainment</v>
      </c>
      <c r="F344" s="10" t="s">
        <v>702</v>
      </c>
      <c r="G344" s="1" t="s">
        <v>8</v>
      </c>
      <c r="H344" s="15">
        <f>MONTH(tblClean[[#This Row],[Date]])</f>
        <v>3</v>
      </c>
      <c r="I344" s="15">
        <f>YEAR(tblClean[[#This Row],[Date]])</f>
        <v>2021</v>
      </c>
    </row>
    <row r="345" spans="1:9" x14ac:dyDescent="0.25">
      <c r="A345" s="7">
        <v>44264</v>
      </c>
      <c r="B345" s="2" t="s">
        <v>703</v>
      </c>
      <c r="C345" s="4" t="str">
        <f>TRIM(CLEAN(PROPER(tblClean[[#This Row],[Transaction Description]])))</f>
        <v>Here Woman Stand West Source.</v>
      </c>
      <c r="D345" s="2" t="s">
        <v>16</v>
      </c>
      <c r="E345" s="3" t="str">
        <f>TRIM(CLEAN(PROPER(tblClean[[#This Row],[Category]])))</f>
        <v>Investment</v>
      </c>
      <c r="F345" s="11" t="s">
        <v>704</v>
      </c>
      <c r="G345" s="2" t="s">
        <v>18</v>
      </c>
      <c r="H345" s="15">
        <f>MONTH(tblClean[[#This Row],[Date]])</f>
        <v>3</v>
      </c>
      <c r="I345" s="15">
        <f>YEAR(tblClean[[#This Row],[Date]])</f>
        <v>2021</v>
      </c>
    </row>
    <row r="346" spans="1:9" x14ac:dyDescent="0.25">
      <c r="A346" s="6">
        <v>44264</v>
      </c>
      <c r="B346" s="1" t="s">
        <v>705</v>
      </c>
      <c r="C346" s="3" t="str">
        <f>TRIM(CLEAN(PROPER(tblClean[[#This Row],[Transaction Description]])))</f>
        <v>Explain Research.</v>
      </c>
      <c r="D346" s="1" t="s">
        <v>10</v>
      </c>
      <c r="E346" s="3" t="str">
        <f>TRIM(CLEAN(PROPER(tblClean[[#This Row],[Category]])))</f>
        <v>Utilities</v>
      </c>
      <c r="F346" s="10" t="s">
        <v>706</v>
      </c>
      <c r="G346" s="1" t="s">
        <v>8</v>
      </c>
      <c r="H346" s="15">
        <f>MONTH(tblClean[[#This Row],[Date]])</f>
        <v>3</v>
      </c>
      <c r="I346" s="15">
        <f>YEAR(tblClean[[#This Row],[Date]])</f>
        <v>2021</v>
      </c>
    </row>
    <row r="347" spans="1:9" x14ac:dyDescent="0.25">
      <c r="A347" s="7">
        <v>44265</v>
      </c>
      <c r="B347" s="2" t="s">
        <v>707</v>
      </c>
      <c r="C347" s="4" t="str">
        <f>TRIM(CLEAN(PROPER(tblClean[[#This Row],[Transaction Description]])))</f>
        <v>Pretty Section Degree Still.</v>
      </c>
      <c r="D347" s="2" t="s">
        <v>10</v>
      </c>
      <c r="E347" s="3" t="str">
        <f>TRIM(CLEAN(PROPER(tblClean[[#This Row],[Category]])))</f>
        <v>Utilities</v>
      </c>
      <c r="F347" s="11" t="s">
        <v>708</v>
      </c>
      <c r="G347" s="2" t="s">
        <v>8</v>
      </c>
      <c r="H347" s="15">
        <f>MONTH(tblClean[[#This Row],[Date]])</f>
        <v>3</v>
      </c>
      <c r="I347" s="15">
        <f>YEAR(tblClean[[#This Row],[Date]])</f>
        <v>2021</v>
      </c>
    </row>
    <row r="348" spans="1:9" x14ac:dyDescent="0.25">
      <c r="A348" s="6">
        <v>44267</v>
      </c>
      <c r="B348" s="1" t="s">
        <v>709</v>
      </c>
      <c r="C348" s="3" t="str">
        <f>TRIM(CLEAN(PROPER(tblClean[[#This Row],[Transaction Description]])))</f>
        <v>Receive Case Past Only Drug.</v>
      </c>
      <c r="D348" s="1" t="s">
        <v>10</v>
      </c>
      <c r="E348" s="3" t="str">
        <f>TRIM(CLEAN(PROPER(tblClean[[#This Row],[Category]])))</f>
        <v>Utilities</v>
      </c>
      <c r="F348" s="10" t="s">
        <v>710</v>
      </c>
      <c r="G348" s="1" t="s">
        <v>8</v>
      </c>
      <c r="H348" s="15">
        <f>MONTH(tblClean[[#This Row],[Date]])</f>
        <v>3</v>
      </c>
      <c r="I348" s="15">
        <f>YEAR(tblClean[[#This Row],[Date]])</f>
        <v>2021</v>
      </c>
    </row>
    <row r="349" spans="1:9" x14ac:dyDescent="0.25">
      <c r="A349" s="7">
        <v>44270</v>
      </c>
      <c r="B349" s="2" t="s">
        <v>711</v>
      </c>
      <c r="C349" s="4" t="str">
        <f>TRIM(CLEAN(PROPER(tblClean[[#This Row],[Transaction Description]])))</f>
        <v>Point Appear Including.</v>
      </c>
      <c r="D349" s="2" t="s">
        <v>30</v>
      </c>
      <c r="E349" s="3" t="str">
        <f>TRIM(CLEAN(PROPER(tblClean[[#This Row],[Category]])))</f>
        <v>Entertainment</v>
      </c>
      <c r="F349" s="11" t="s">
        <v>712</v>
      </c>
      <c r="G349" s="2" t="s">
        <v>8</v>
      </c>
      <c r="H349" s="15">
        <f>MONTH(tblClean[[#This Row],[Date]])</f>
        <v>3</v>
      </c>
      <c r="I349" s="15">
        <f>YEAR(tblClean[[#This Row],[Date]])</f>
        <v>2021</v>
      </c>
    </row>
    <row r="350" spans="1:9" x14ac:dyDescent="0.25">
      <c r="A350" s="6">
        <v>44270</v>
      </c>
      <c r="B350" s="1" t="s">
        <v>713</v>
      </c>
      <c r="C350" s="3" t="str">
        <f>TRIM(CLEAN(PROPER(tblClean[[#This Row],[Transaction Description]])))</f>
        <v>Race Case.</v>
      </c>
      <c r="D350" s="1" t="s">
        <v>27</v>
      </c>
      <c r="E350" s="3" t="str">
        <f>TRIM(CLEAN(PROPER(tblClean[[#This Row],[Category]])))</f>
        <v>Other</v>
      </c>
      <c r="F350" s="10" t="s">
        <v>714</v>
      </c>
      <c r="G350" s="1" t="s">
        <v>18</v>
      </c>
      <c r="H350" s="15">
        <f>MONTH(tblClean[[#This Row],[Date]])</f>
        <v>3</v>
      </c>
      <c r="I350" s="15">
        <f>YEAR(tblClean[[#This Row],[Date]])</f>
        <v>2021</v>
      </c>
    </row>
    <row r="351" spans="1:9" x14ac:dyDescent="0.25">
      <c r="A351" s="6">
        <v>44271</v>
      </c>
      <c r="B351" s="1" t="s">
        <v>717</v>
      </c>
      <c r="C351" s="3" t="str">
        <f>TRIM(CLEAN(PROPER(tblClean[[#This Row],[Transaction Description]])))</f>
        <v>Sense Expert Experience.</v>
      </c>
      <c r="D351" s="1" t="s">
        <v>16</v>
      </c>
      <c r="E351" s="3" t="str">
        <f>TRIM(CLEAN(PROPER(tblClean[[#This Row],[Category]])))</f>
        <v>Investment</v>
      </c>
      <c r="F351" s="10" t="s">
        <v>718</v>
      </c>
      <c r="G351" s="1" t="s">
        <v>18</v>
      </c>
      <c r="H351" s="15">
        <f>MONTH(tblClean[[#This Row],[Date]])</f>
        <v>3</v>
      </c>
      <c r="I351" s="15">
        <f>YEAR(tblClean[[#This Row],[Date]])</f>
        <v>2021</v>
      </c>
    </row>
    <row r="352" spans="1:9" x14ac:dyDescent="0.25">
      <c r="A352" s="7">
        <v>44271</v>
      </c>
      <c r="B352" s="2" t="s">
        <v>715</v>
      </c>
      <c r="C352" s="4" t="str">
        <f>TRIM(CLEAN(PROPER(tblClean[[#This Row],[Transaction Description]])))</f>
        <v>Imagine Various There.</v>
      </c>
      <c r="D352" s="2" t="s">
        <v>27</v>
      </c>
      <c r="E352" s="3" t="str">
        <f>TRIM(CLEAN(PROPER(tblClean[[#This Row],[Category]])))</f>
        <v>Other</v>
      </c>
      <c r="F352" s="11" t="s">
        <v>716</v>
      </c>
      <c r="G352" s="2" t="s">
        <v>18</v>
      </c>
      <c r="H352" s="15">
        <f>MONTH(tblClean[[#This Row],[Date]])</f>
        <v>3</v>
      </c>
      <c r="I352" s="15">
        <f>YEAR(tblClean[[#This Row],[Date]])</f>
        <v>2021</v>
      </c>
    </row>
    <row r="353" spans="1:9" x14ac:dyDescent="0.25">
      <c r="A353" s="7">
        <v>44272</v>
      </c>
      <c r="B353" s="2" t="s">
        <v>719</v>
      </c>
      <c r="C353" s="4" t="str">
        <f>TRIM(CLEAN(PROPER(tblClean[[#This Row],[Transaction Description]])))</f>
        <v>Present Discussion.</v>
      </c>
      <c r="D353" s="2" t="s">
        <v>35</v>
      </c>
      <c r="E353" s="3" t="str">
        <f>TRIM(CLEAN(PROPER(tblClean[[#This Row],[Category]])))</f>
        <v>Health &amp; Fitness</v>
      </c>
      <c r="F353" s="11" t="s">
        <v>720</v>
      </c>
      <c r="G353" s="2" t="s">
        <v>8</v>
      </c>
      <c r="H353" s="15">
        <f>MONTH(tblClean[[#This Row],[Date]])</f>
        <v>3</v>
      </c>
      <c r="I353" s="15">
        <f>YEAR(tblClean[[#This Row],[Date]])</f>
        <v>2021</v>
      </c>
    </row>
    <row r="354" spans="1:9" x14ac:dyDescent="0.25">
      <c r="A354" s="6">
        <v>44272</v>
      </c>
      <c r="B354" s="1" t="s">
        <v>721</v>
      </c>
      <c r="C354" s="3" t="str">
        <f>TRIM(CLEAN(PROPER(tblClean[[#This Row],[Transaction Description]])))</f>
        <v>Individual Study Value.</v>
      </c>
      <c r="D354" s="1" t="s">
        <v>16</v>
      </c>
      <c r="E354" s="3" t="str">
        <f>TRIM(CLEAN(PROPER(tblClean[[#This Row],[Category]])))</f>
        <v>Investment</v>
      </c>
      <c r="F354" s="10" t="s">
        <v>722</v>
      </c>
      <c r="G354" s="1" t="s">
        <v>18</v>
      </c>
      <c r="H354" s="15">
        <f>MONTH(tblClean[[#This Row],[Date]])</f>
        <v>3</v>
      </c>
      <c r="I354" s="15">
        <f>YEAR(tblClean[[#This Row],[Date]])</f>
        <v>2021</v>
      </c>
    </row>
    <row r="355" spans="1:9" x14ac:dyDescent="0.25">
      <c r="A355" s="7">
        <v>44273</v>
      </c>
      <c r="B355" s="2" t="s">
        <v>723</v>
      </c>
      <c r="C355" s="4" t="str">
        <f>TRIM(CLEAN(PROPER(tblClean[[#This Row],[Transaction Description]])))</f>
        <v>Small Control See The.</v>
      </c>
      <c r="D355" s="2" t="s">
        <v>53</v>
      </c>
      <c r="E355" s="3" t="str">
        <f>TRIM(CLEAN(PROPER(tblClean[[#This Row],[Category]])))</f>
        <v>Travel</v>
      </c>
      <c r="F355" s="11" t="s">
        <v>724</v>
      </c>
      <c r="G355" s="2" t="s">
        <v>8</v>
      </c>
      <c r="H355" s="15">
        <f>MONTH(tblClean[[#This Row],[Date]])</f>
        <v>3</v>
      </c>
      <c r="I355" s="15">
        <f>YEAR(tblClean[[#This Row],[Date]])</f>
        <v>2021</v>
      </c>
    </row>
    <row r="356" spans="1:9" x14ac:dyDescent="0.25">
      <c r="A356" s="6">
        <v>44274</v>
      </c>
      <c r="B356" s="1" t="s">
        <v>725</v>
      </c>
      <c r="C356" s="3" t="str">
        <f>TRIM(CLEAN(PROPER(tblClean[[#This Row],[Transaction Description]])))</f>
        <v>Across Nothing.</v>
      </c>
      <c r="D356" s="1" t="s">
        <v>6</v>
      </c>
      <c r="E356" s="3" t="str">
        <f>TRIM(CLEAN(PROPER(tblClean[[#This Row],[Category]])))</f>
        <v>Food &amp; Drink</v>
      </c>
      <c r="F356" s="10" t="s">
        <v>726</v>
      </c>
      <c r="G356" s="1" t="s">
        <v>8</v>
      </c>
      <c r="H356" s="15">
        <f>MONTH(tblClean[[#This Row],[Date]])</f>
        <v>3</v>
      </c>
      <c r="I356" s="15">
        <f>YEAR(tblClean[[#This Row],[Date]])</f>
        <v>2021</v>
      </c>
    </row>
    <row r="357" spans="1:9" x14ac:dyDescent="0.25">
      <c r="A357" s="7">
        <v>44275</v>
      </c>
      <c r="B357" s="2" t="s">
        <v>727</v>
      </c>
      <c r="C357" s="4" t="str">
        <f>TRIM(CLEAN(PROPER(tblClean[[#This Row],[Transaction Description]])))</f>
        <v>Expect Writer Myself Management.</v>
      </c>
      <c r="D357" s="2" t="s">
        <v>22</v>
      </c>
      <c r="E357" s="3" t="str">
        <f>TRIM(CLEAN(PROPER(tblClean[[#This Row],[Category]])))</f>
        <v>Shopping</v>
      </c>
      <c r="F357" s="11" t="s">
        <v>728</v>
      </c>
      <c r="G357" s="2" t="s">
        <v>8</v>
      </c>
      <c r="H357" s="15">
        <f>MONTH(tblClean[[#This Row],[Date]])</f>
        <v>3</v>
      </c>
      <c r="I357" s="15">
        <f>YEAR(tblClean[[#This Row],[Date]])</f>
        <v>2021</v>
      </c>
    </row>
    <row r="358" spans="1:9" x14ac:dyDescent="0.25">
      <c r="A358" s="6">
        <v>44276</v>
      </c>
      <c r="B358" s="1" t="s">
        <v>729</v>
      </c>
      <c r="C358" s="3" t="str">
        <f>TRIM(CLEAN(PROPER(tblClean[[#This Row],[Transaction Description]])))</f>
        <v>Life Cover Both Class.</v>
      </c>
      <c r="D358" s="1" t="s">
        <v>38</v>
      </c>
      <c r="E358" s="3" t="str">
        <f>TRIM(CLEAN(PROPER(tblClean[[#This Row],[Category]])))</f>
        <v>Salary</v>
      </c>
      <c r="F358" s="10" t="s">
        <v>730</v>
      </c>
      <c r="G358" s="1" t="s">
        <v>8</v>
      </c>
      <c r="H358" s="15">
        <f>MONTH(tblClean[[#This Row],[Date]])</f>
        <v>3</v>
      </c>
      <c r="I358" s="15">
        <f>YEAR(tblClean[[#This Row],[Date]])</f>
        <v>2021</v>
      </c>
    </row>
    <row r="359" spans="1:9" x14ac:dyDescent="0.25">
      <c r="A359" s="7">
        <v>44277</v>
      </c>
      <c r="B359" s="2" t="s">
        <v>731</v>
      </c>
      <c r="C359" s="4" t="str">
        <f>TRIM(CLEAN(PROPER(tblClean[[#This Row],[Transaction Description]])))</f>
        <v>Responsibility Add Front.</v>
      </c>
      <c r="D359" s="2" t="s">
        <v>16</v>
      </c>
      <c r="E359" s="3" t="str">
        <f>TRIM(CLEAN(PROPER(tblClean[[#This Row],[Category]])))</f>
        <v>Investment</v>
      </c>
      <c r="F359" s="11" t="s">
        <v>732</v>
      </c>
      <c r="G359" s="2" t="s">
        <v>18</v>
      </c>
      <c r="H359" s="15">
        <f>MONTH(tblClean[[#This Row],[Date]])</f>
        <v>3</v>
      </c>
      <c r="I359" s="15">
        <f>YEAR(tblClean[[#This Row],[Date]])</f>
        <v>2021</v>
      </c>
    </row>
    <row r="360" spans="1:9" x14ac:dyDescent="0.25">
      <c r="A360" s="6">
        <v>44277</v>
      </c>
      <c r="B360" s="1" t="s">
        <v>733</v>
      </c>
      <c r="C360" s="3" t="str">
        <f>TRIM(CLEAN(PROPER(tblClean[[#This Row],[Transaction Description]])))</f>
        <v>Purpose Cover Particularly Police If.</v>
      </c>
      <c r="D360" s="1" t="s">
        <v>27</v>
      </c>
      <c r="E360" s="3" t="str">
        <f>TRIM(CLEAN(PROPER(tblClean[[#This Row],[Category]])))</f>
        <v>Other</v>
      </c>
      <c r="F360" s="10" t="s">
        <v>734</v>
      </c>
      <c r="G360" s="1" t="s">
        <v>18</v>
      </c>
      <c r="H360" s="15">
        <f>MONTH(tblClean[[#This Row],[Date]])</f>
        <v>3</v>
      </c>
      <c r="I360" s="15">
        <f>YEAR(tblClean[[#This Row],[Date]])</f>
        <v>2021</v>
      </c>
    </row>
    <row r="361" spans="1:9" x14ac:dyDescent="0.25">
      <c r="A361" s="7">
        <v>44277</v>
      </c>
      <c r="B361" s="2" t="s">
        <v>735</v>
      </c>
      <c r="C361" s="4" t="str">
        <f>TRIM(CLEAN(PROPER(tblClean[[#This Row],[Transaction Description]])))</f>
        <v>Foreign Husband Believe Word Local.</v>
      </c>
      <c r="D361" s="2" t="s">
        <v>53</v>
      </c>
      <c r="E361" s="3" t="str">
        <f>TRIM(CLEAN(PROPER(tblClean[[#This Row],[Category]])))</f>
        <v>Travel</v>
      </c>
      <c r="F361" s="11" t="s">
        <v>736</v>
      </c>
      <c r="G361" s="2" t="s">
        <v>8</v>
      </c>
      <c r="H361" s="15">
        <f>MONTH(tblClean[[#This Row],[Date]])</f>
        <v>3</v>
      </c>
      <c r="I361" s="15">
        <f>YEAR(tblClean[[#This Row],[Date]])</f>
        <v>2021</v>
      </c>
    </row>
    <row r="362" spans="1:9" x14ac:dyDescent="0.25">
      <c r="A362" s="7">
        <v>44278</v>
      </c>
      <c r="B362" s="2" t="s">
        <v>739</v>
      </c>
      <c r="C362" s="4" t="str">
        <f>TRIM(CLEAN(PROPER(tblClean[[#This Row],[Transaction Description]])))</f>
        <v>Few Reveal Activity President.</v>
      </c>
      <c r="D362" s="2" t="s">
        <v>16</v>
      </c>
      <c r="E362" s="3" t="str">
        <f>TRIM(CLEAN(PROPER(tblClean[[#This Row],[Category]])))</f>
        <v>Investment</v>
      </c>
      <c r="F362" s="11" t="s">
        <v>740</v>
      </c>
      <c r="G362" s="2" t="s">
        <v>18</v>
      </c>
      <c r="H362" s="15">
        <f>MONTH(tblClean[[#This Row],[Date]])</f>
        <v>3</v>
      </c>
      <c r="I362" s="15">
        <f>YEAR(tblClean[[#This Row],[Date]])</f>
        <v>2021</v>
      </c>
    </row>
    <row r="363" spans="1:9" x14ac:dyDescent="0.25">
      <c r="A363" s="6">
        <v>44278</v>
      </c>
      <c r="B363" s="1" t="s">
        <v>737</v>
      </c>
      <c r="C363" s="3" t="str">
        <f>TRIM(CLEAN(PROPER(tblClean[[#This Row],[Transaction Description]])))</f>
        <v>End Dog.</v>
      </c>
      <c r="D363" s="1" t="s">
        <v>13</v>
      </c>
      <c r="E363" s="3" t="str">
        <f>TRIM(CLEAN(PROPER(tblClean[[#This Row],[Category]])))</f>
        <v>Rent</v>
      </c>
      <c r="F363" s="10" t="s">
        <v>738</v>
      </c>
      <c r="G363" s="1" t="s">
        <v>8</v>
      </c>
      <c r="H363" s="15">
        <f>MONTH(tblClean[[#This Row],[Date]])</f>
        <v>3</v>
      </c>
      <c r="I363" s="15">
        <f>YEAR(tblClean[[#This Row],[Date]])</f>
        <v>2021</v>
      </c>
    </row>
    <row r="364" spans="1:9" x14ac:dyDescent="0.25">
      <c r="A364" s="6">
        <v>44279</v>
      </c>
      <c r="B364" s="1" t="s">
        <v>741</v>
      </c>
      <c r="C364" s="3" t="str">
        <f>TRIM(CLEAN(PROPER(tblClean[[#This Row],[Transaction Description]])))</f>
        <v>Property Let.</v>
      </c>
      <c r="D364" s="1" t="s">
        <v>30</v>
      </c>
      <c r="E364" s="3" t="str">
        <f>TRIM(CLEAN(PROPER(tblClean[[#This Row],[Category]])))</f>
        <v>Entertainment</v>
      </c>
      <c r="F364" s="10" t="s">
        <v>742</v>
      </c>
      <c r="G364" s="1" t="s">
        <v>8</v>
      </c>
      <c r="H364" s="15">
        <f>MONTH(tblClean[[#This Row],[Date]])</f>
        <v>3</v>
      </c>
      <c r="I364" s="15">
        <f>YEAR(tblClean[[#This Row],[Date]])</f>
        <v>2021</v>
      </c>
    </row>
    <row r="365" spans="1:9" x14ac:dyDescent="0.25">
      <c r="A365" s="7">
        <v>44280</v>
      </c>
      <c r="B365" s="2" t="s">
        <v>743</v>
      </c>
      <c r="C365" s="4" t="str">
        <f>TRIM(CLEAN(PROPER(tblClean[[#This Row],[Transaction Description]])))</f>
        <v>Rather Type Thousand Show.</v>
      </c>
      <c r="D365" s="2" t="s">
        <v>22</v>
      </c>
      <c r="E365" s="3" t="str">
        <f>TRIM(CLEAN(PROPER(tblClean[[#This Row],[Category]])))</f>
        <v>Shopping</v>
      </c>
      <c r="F365" s="11" t="s">
        <v>744</v>
      </c>
      <c r="G365" s="2" t="s">
        <v>8</v>
      </c>
      <c r="H365" s="15">
        <f>MONTH(tblClean[[#This Row],[Date]])</f>
        <v>3</v>
      </c>
      <c r="I365" s="15">
        <f>YEAR(tblClean[[#This Row],[Date]])</f>
        <v>2021</v>
      </c>
    </row>
    <row r="366" spans="1:9" x14ac:dyDescent="0.25">
      <c r="A366" s="6">
        <v>44281</v>
      </c>
      <c r="B366" s="1" t="s">
        <v>745</v>
      </c>
      <c r="C366" s="3" t="str">
        <f>TRIM(CLEAN(PROPER(tblClean[[#This Row],[Transaction Description]])))</f>
        <v>Happen Determine Whatever.</v>
      </c>
      <c r="D366" s="1" t="s">
        <v>27</v>
      </c>
      <c r="E366" s="3" t="str">
        <f>TRIM(CLEAN(PROPER(tblClean[[#This Row],[Category]])))</f>
        <v>Other</v>
      </c>
      <c r="F366" s="10" t="s">
        <v>746</v>
      </c>
      <c r="G366" s="1" t="s">
        <v>18</v>
      </c>
      <c r="H366" s="15">
        <f>MONTH(tblClean[[#This Row],[Date]])</f>
        <v>3</v>
      </c>
      <c r="I366" s="15">
        <f>YEAR(tblClean[[#This Row],[Date]])</f>
        <v>2021</v>
      </c>
    </row>
    <row r="367" spans="1:9" x14ac:dyDescent="0.25">
      <c r="A367" s="7">
        <v>44282</v>
      </c>
      <c r="B367" s="2" t="s">
        <v>747</v>
      </c>
      <c r="C367" s="4" t="str">
        <f>TRIM(CLEAN(PROPER(tblClean[[#This Row],[Transaction Description]])))</f>
        <v>Lawyer Writer Health.</v>
      </c>
      <c r="D367" s="2" t="s">
        <v>35</v>
      </c>
      <c r="E367" s="3" t="str">
        <f>TRIM(CLEAN(PROPER(tblClean[[#This Row],[Category]])))</f>
        <v>Health &amp; Fitness</v>
      </c>
      <c r="F367" s="11" t="s">
        <v>748</v>
      </c>
      <c r="G367" s="2" t="s">
        <v>8</v>
      </c>
      <c r="H367" s="15">
        <f>MONTH(tblClean[[#This Row],[Date]])</f>
        <v>3</v>
      </c>
      <c r="I367" s="15">
        <f>YEAR(tblClean[[#This Row],[Date]])</f>
        <v>2021</v>
      </c>
    </row>
    <row r="368" spans="1:9" x14ac:dyDescent="0.25">
      <c r="A368" s="6">
        <v>44283</v>
      </c>
      <c r="B368" s="1" t="s">
        <v>749</v>
      </c>
      <c r="C368" s="3" t="str">
        <f>TRIM(CLEAN(PROPER(tblClean[[#This Row],[Transaction Description]])))</f>
        <v>Serious Soon Stay Seven.</v>
      </c>
      <c r="D368" s="1" t="s">
        <v>38</v>
      </c>
      <c r="E368" s="3" t="str">
        <f>TRIM(CLEAN(PROPER(tblClean[[#This Row],[Category]])))</f>
        <v>Salary</v>
      </c>
      <c r="F368" s="10" t="s">
        <v>750</v>
      </c>
      <c r="G368" s="1" t="s">
        <v>8</v>
      </c>
      <c r="H368" s="15">
        <f>MONTH(tblClean[[#This Row],[Date]])</f>
        <v>3</v>
      </c>
      <c r="I368" s="15">
        <f>YEAR(tblClean[[#This Row],[Date]])</f>
        <v>2021</v>
      </c>
    </row>
    <row r="369" spans="1:9" x14ac:dyDescent="0.25">
      <c r="A369" s="7">
        <v>44284</v>
      </c>
      <c r="B369" s="2" t="s">
        <v>751</v>
      </c>
      <c r="C369" s="4" t="str">
        <f>TRIM(CLEAN(PROPER(tblClean[[#This Row],[Transaction Description]])))</f>
        <v>Land Region Back Nor Article.</v>
      </c>
      <c r="D369" s="2" t="s">
        <v>13</v>
      </c>
      <c r="E369" s="3" t="str">
        <f>TRIM(CLEAN(PROPER(tblClean[[#This Row],[Category]])))</f>
        <v>Rent</v>
      </c>
      <c r="F369" s="11" t="s">
        <v>752</v>
      </c>
      <c r="G369" s="2" t="s">
        <v>8</v>
      </c>
      <c r="H369" s="15">
        <f>MONTH(tblClean[[#This Row],[Date]])</f>
        <v>3</v>
      </c>
      <c r="I369" s="15">
        <f>YEAR(tblClean[[#This Row],[Date]])</f>
        <v>2021</v>
      </c>
    </row>
    <row r="370" spans="1:9" x14ac:dyDescent="0.25">
      <c r="A370" s="6">
        <v>44285</v>
      </c>
      <c r="B370" s="1" t="s">
        <v>753</v>
      </c>
      <c r="C370" s="3" t="str">
        <f>TRIM(CLEAN(PROPER(tblClean[[#This Row],[Transaction Description]])))</f>
        <v>Dark Mr Clearly Take.</v>
      </c>
      <c r="D370" s="1" t="s">
        <v>35</v>
      </c>
      <c r="E370" s="3" t="str">
        <f>TRIM(CLEAN(PROPER(tblClean[[#This Row],[Category]])))</f>
        <v>Health &amp; Fitness</v>
      </c>
      <c r="F370" s="10" t="s">
        <v>754</v>
      </c>
      <c r="G370" s="1" t="s">
        <v>8</v>
      </c>
      <c r="H370" s="15">
        <f>MONTH(tblClean[[#This Row],[Date]])</f>
        <v>3</v>
      </c>
      <c r="I370" s="15">
        <f>YEAR(tblClean[[#This Row],[Date]])</f>
        <v>2021</v>
      </c>
    </row>
    <row r="371" spans="1:9" x14ac:dyDescent="0.25">
      <c r="A371" s="7">
        <v>44287</v>
      </c>
      <c r="B371" s="2" t="s">
        <v>755</v>
      </c>
      <c r="C371" s="4" t="str">
        <f>TRIM(CLEAN(PROPER(tblClean[[#This Row],[Transaction Description]])))</f>
        <v>Quite Response.</v>
      </c>
      <c r="D371" s="2" t="s">
        <v>35</v>
      </c>
      <c r="E371" s="3" t="str">
        <f>TRIM(CLEAN(PROPER(tblClean[[#This Row],[Category]])))</f>
        <v>Health &amp; Fitness</v>
      </c>
      <c r="F371" s="11" t="s">
        <v>756</v>
      </c>
      <c r="G371" s="2" t="s">
        <v>8</v>
      </c>
      <c r="H371" s="15">
        <f>MONTH(tblClean[[#This Row],[Date]])</f>
        <v>4</v>
      </c>
      <c r="I371" s="15">
        <f>YEAR(tblClean[[#This Row],[Date]])</f>
        <v>2021</v>
      </c>
    </row>
    <row r="372" spans="1:9" x14ac:dyDescent="0.25">
      <c r="A372" s="6">
        <v>44288</v>
      </c>
      <c r="B372" s="1" t="s">
        <v>757</v>
      </c>
      <c r="C372" s="3" t="str">
        <f>TRIM(CLEAN(PROPER(tblClean[[#This Row],[Transaction Description]])))</f>
        <v>Together Knowledge.</v>
      </c>
      <c r="D372" s="1" t="s">
        <v>22</v>
      </c>
      <c r="E372" s="3" t="str">
        <f>TRIM(CLEAN(PROPER(tblClean[[#This Row],[Category]])))</f>
        <v>Shopping</v>
      </c>
      <c r="F372" s="10" t="s">
        <v>758</v>
      </c>
      <c r="G372" s="1" t="s">
        <v>8</v>
      </c>
      <c r="H372" s="15">
        <f>MONTH(tblClean[[#This Row],[Date]])</f>
        <v>4</v>
      </c>
      <c r="I372" s="15">
        <f>YEAR(tblClean[[#This Row],[Date]])</f>
        <v>2021</v>
      </c>
    </row>
    <row r="373" spans="1:9" x14ac:dyDescent="0.25">
      <c r="A373" s="6">
        <v>44289</v>
      </c>
      <c r="B373" s="1" t="s">
        <v>761</v>
      </c>
      <c r="C373" s="3" t="str">
        <f>TRIM(CLEAN(PROPER(tblClean[[#This Row],[Transaction Description]])))</f>
        <v>How Staff.</v>
      </c>
      <c r="D373" s="1" t="s">
        <v>30</v>
      </c>
      <c r="E373" s="3" t="str">
        <f>TRIM(CLEAN(PROPER(tblClean[[#This Row],[Category]])))</f>
        <v>Entertainment</v>
      </c>
      <c r="F373" s="10" t="s">
        <v>762</v>
      </c>
      <c r="G373" s="1" t="s">
        <v>8</v>
      </c>
      <c r="H373" s="15">
        <f>MONTH(tblClean[[#This Row],[Date]])</f>
        <v>4</v>
      </c>
      <c r="I373" s="15">
        <f>YEAR(tblClean[[#This Row],[Date]])</f>
        <v>2021</v>
      </c>
    </row>
    <row r="374" spans="1:9" x14ac:dyDescent="0.25">
      <c r="A374" s="7">
        <v>44289</v>
      </c>
      <c r="B374" s="2" t="s">
        <v>763</v>
      </c>
      <c r="C374" s="4" t="str">
        <f>TRIM(CLEAN(PROPER(tblClean[[#This Row],[Transaction Description]])))</f>
        <v>Authority Interest Red Must Art.</v>
      </c>
      <c r="D374" s="2" t="s">
        <v>13</v>
      </c>
      <c r="E374" s="3" t="str">
        <f>TRIM(CLEAN(PROPER(tblClean[[#This Row],[Category]])))</f>
        <v>Rent</v>
      </c>
      <c r="F374" s="11" t="s">
        <v>764</v>
      </c>
      <c r="G374" s="2" t="s">
        <v>8</v>
      </c>
      <c r="H374" s="15">
        <f>MONTH(tblClean[[#This Row],[Date]])</f>
        <v>4</v>
      </c>
      <c r="I374" s="15">
        <f>YEAR(tblClean[[#This Row],[Date]])</f>
        <v>2021</v>
      </c>
    </row>
    <row r="375" spans="1:9" x14ac:dyDescent="0.25">
      <c r="A375" s="7">
        <v>44289</v>
      </c>
      <c r="B375" s="2" t="s">
        <v>759</v>
      </c>
      <c r="C375" s="4" t="str">
        <f>TRIM(CLEAN(PROPER(tblClean[[#This Row],[Transaction Description]])))</f>
        <v>Car Indeed Nor Next.</v>
      </c>
      <c r="D375" s="2" t="s">
        <v>53</v>
      </c>
      <c r="E375" s="3" t="str">
        <f>TRIM(CLEAN(PROPER(tblClean[[#This Row],[Category]])))</f>
        <v>Travel</v>
      </c>
      <c r="F375" s="11" t="s">
        <v>760</v>
      </c>
      <c r="G375" s="2" t="s">
        <v>8</v>
      </c>
      <c r="H375" s="15">
        <f>MONTH(tblClean[[#This Row],[Date]])</f>
        <v>4</v>
      </c>
      <c r="I375" s="15">
        <f>YEAR(tblClean[[#This Row],[Date]])</f>
        <v>2021</v>
      </c>
    </row>
    <row r="376" spans="1:9" x14ac:dyDescent="0.25">
      <c r="A376" s="6">
        <v>44294</v>
      </c>
      <c r="B376" s="1" t="s">
        <v>765</v>
      </c>
      <c r="C376" s="3" t="str">
        <f>TRIM(CLEAN(PROPER(tblClean[[#This Row],[Transaction Description]])))</f>
        <v>All Important Shoulder She.</v>
      </c>
      <c r="D376" s="1" t="s">
        <v>13</v>
      </c>
      <c r="E376" s="3" t="str">
        <f>TRIM(CLEAN(PROPER(tblClean[[#This Row],[Category]])))</f>
        <v>Rent</v>
      </c>
      <c r="F376" s="10" t="s">
        <v>766</v>
      </c>
      <c r="G376" s="1" t="s">
        <v>8</v>
      </c>
      <c r="H376" s="15">
        <f>MONTH(tblClean[[#This Row],[Date]])</f>
        <v>4</v>
      </c>
      <c r="I376" s="15">
        <f>YEAR(tblClean[[#This Row],[Date]])</f>
        <v>2021</v>
      </c>
    </row>
    <row r="377" spans="1:9" x14ac:dyDescent="0.25">
      <c r="A377" s="7">
        <v>44294</v>
      </c>
      <c r="B377" s="2" t="s">
        <v>767</v>
      </c>
      <c r="C377" s="4" t="str">
        <f>TRIM(CLEAN(PROPER(tblClean[[#This Row],[Transaction Description]])))</f>
        <v>Year Him Thank Trade.</v>
      </c>
      <c r="D377" s="2" t="s">
        <v>22</v>
      </c>
      <c r="E377" s="3" t="str">
        <f>TRIM(CLEAN(PROPER(tblClean[[#This Row],[Category]])))</f>
        <v>Shopping</v>
      </c>
      <c r="F377" s="11" t="s">
        <v>768</v>
      </c>
      <c r="G377" s="2" t="s">
        <v>8</v>
      </c>
      <c r="H377" s="15">
        <f>MONTH(tblClean[[#This Row],[Date]])</f>
        <v>4</v>
      </c>
      <c r="I377" s="15">
        <f>YEAR(tblClean[[#This Row],[Date]])</f>
        <v>2021</v>
      </c>
    </row>
    <row r="378" spans="1:9" x14ac:dyDescent="0.25">
      <c r="A378" s="6">
        <v>44295</v>
      </c>
      <c r="B378" s="1" t="s">
        <v>769</v>
      </c>
      <c r="C378" s="3" t="str">
        <f>TRIM(CLEAN(PROPER(tblClean[[#This Row],[Transaction Description]])))</f>
        <v>Radio Product.</v>
      </c>
      <c r="D378" s="1" t="s">
        <v>6</v>
      </c>
      <c r="E378" s="3" t="str">
        <f>TRIM(CLEAN(PROPER(tblClean[[#This Row],[Category]])))</f>
        <v>Food &amp; Drink</v>
      </c>
      <c r="F378" s="10" t="s">
        <v>770</v>
      </c>
      <c r="G378" s="1" t="s">
        <v>8</v>
      </c>
      <c r="H378" s="15">
        <f>MONTH(tblClean[[#This Row],[Date]])</f>
        <v>4</v>
      </c>
      <c r="I378" s="15">
        <f>YEAR(tblClean[[#This Row],[Date]])</f>
        <v>2021</v>
      </c>
    </row>
    <row r="379" spans="1:9" x14ac:dyDescent="0.25">
      <c r="A379" s="7">
        <v>44297</v>
      </c>
      <c r="B379" s="2" t="s">
        <v>771</v>
      </c>
      <c r="C379" s="4" t="str">
        <f>TRIM(CLEAN(PROPER(tblClean[[#This Row],[Transaction Description]])))</f>
        <v>President Girl Condition.</v>
      </c>
      <c r="D379" s="2" t="s">
        <v>53</v>
      </c>
      <c r="E379" s="3" t="str">
        <f>TRIM(CLEAN(PROPER(tblClean[[#This Row],[Category]])))</f>
        <v>Travel</v>
      </c>
      <c r="F379" s="11" t="s">
        <v>772</v>
      </c>
      <c r="G379" s="2" t="s">
        <v>8</v>
      </c>
      <c r="H379" s="15">
        <f>MONTH(tblClean[[#This Row],[Date]])</f>
        <v>4</v>
      </c>
      <c r="I379" s="15">
        <f>YEAR(tblClean[[#This Row],[Date]])</f>
        <v>2021</v>
      </c>
    </row>
    <row r="380" spans="1:9" x14ac:dyDescent="0.25">
      <c r="A380" s="6">
        <v>44297</v>
      </c>
      <c r="B380" s="1" t="s">
        <v>773</v>
      </c>
      <c r="C380" s="3" t="str">
        <f>TRIM(CLEAN(PROPER(tblClean[[#This Row],[Transaction Description]])))</f>
        <v>More Road Development About.</v>
      </c>
      <c r="D380" s="1" t="s">
        <v>53</v>
      </c>
      <c r="E380" s="3" t="str">
        <f>TRIM(CLEAN(PROPER(tblClean[[#This Row],[Category]])))</f>
        <v>Travel</v>
      </c>
      <c r="F380" s="10" t="s">
        <v>774</v>
      </c>
      <c r="G380" s="1" t="s">
        <v>8</v>
      </c>
      <c r="H380" s="15">
        <f>MONTH(tblClean[[#This Row],[Date]])</f>
        <v>4</v>
      </c>
      <c r="I380" s="15">
        <f>YEAR(tblClean[[#This Row],[Date]])</f>
        <v>2021</v>
      </c>
    </row>
    <row r="381" spans="1:9" x14ac:dyDescent="0.25">
      <c r="A381" s="7">
        <v>44298</v>
      </c>
      <c r="B381" s="2" t="s">
        <v>775</v>
      </c>
      <c r="C381" s="4" t="str">
        <f>TRIM(CLEAN(PROPER(tblClean[[#This Row],[Transaction Description]])))</f>
        <v>Leg Rest Interest.</v>
      </c>
      <c r="D381" s="2" t="s">
        <v>10</v>
      </c>
      <c r="E381" s="3" t="str">
        <f>TRIM(CLEAN(PROPER(tblClean[[#This Row],[Category]])))</f>
        <v>Utilities</v>
      </c>
      <c r="F381" s="11" t="s">
        <v>776</v>
      </c>
      <c r="G381" s="2" t="s">
        <v>8</v>
      </c>
      <c r="H381" s="15">
        <f>MONTH(tblClean[[#This Row],[Date]])</f>
        <v>4</v>
      </c>
      <c r="I381" s="15">
        <f>YEAR(tblClean[[#This Row],[Date]])</f>
        <v>2021</v>
      </c>
    </row>
    <row r="382" spans="1:9" x14ac:dyDescent="0.25">
      <c r="A382" s="6">
        <v>44299</v>
      </c>
      <c r="B382" s="1" t="s">
        <v>777</v>
      </c>
      <c r="C382" s="3" t="str">
        <f>TRIM(CLEAN(PROPER(tblClean[[#This Row],[Transaction Description]])))</f>
        <v>Easy Get Every.</v>
      </c>
      <c r="D382" s="1" t="s">
        <v>22</v>
      </c>
      <c r="E382" s="3" t="str">
        <f>TRIM(CLEAN(PROPER(tblClean[[#This Row],[Category]])))</f>
        <v>Shopping</v>
      </c>
      <c r="F382" s="10" t="s">
        <v>778</v>
      </c>
      <c r="G382" s="1" t="s">
        <v>8</v>
      </c>
      <c r="H382" s="15">
        <f>MONTH(tblClean[[#This Row],[Date]])</f>
        <v>4</v>
      </c>
      <c r="I382" s="15">
        <f>YEAR(tblClean[[#This Row],[Date]])</f>
        <v>2021</v>
      </c>
    </row>
    <row r="383" spans="1:9" x14ac:dyDescent="0.25">
      <c r="A383" s="7">
        <v>44304</v>
      </c>
      <c r="B383" s="2" t="s">
        <v>779</v>
      </c>
      <c r="C383" s="4" t="str">
        <f>TRIM(CLEAN(PROPER(tblClean[[#This Row],[Transaction Description]])))</f>
        <v>Special Information.</v>
      </c>
      <c r="D383" s="2" t="s">
        <v>6</v>
      </c>
      <c r="E383" s="3" t="str">
        <f>TRIM(CLEAN(PROPER(tblClean[[#This Row],[Category]])))</f>
        <v>Food &amp; Drink</v>
      </c>
      <c r="F383" s="11" t="s">
        <v>780</v>
      </c>
      <c r="G383" s="2" t="s">
        <v>8</v>
      </c>
      <c r="H383" s="15">
        <f>MONTH(tblClean[[#This Row],[Date]])</f>
        <v>4</v>
      </c>
      <c r="I383" s="15">
        <f>YEAR(tblClean[[#This Row],[Date]])</f>
        <v>2021</v>
      </c>
    </row>
    <row r="384" spans="1:9" x14ac:dyDescent="0.25">
      <c r="A384" s="7">
        <v>44305</v>
      </c>
      <c r="B384" s="2" t="s">
        <v>783</v>
      </c>
      <c r="C384" s="4" t="str">
        <f>TRIM(CLEAN(PROPER(tblClean[[#This Row],[Transaction Description]])))</f>
        <v>Scientist I Doctor.</v>
      </c>
      <c r="D384" s="2" t="s">
        <v>35</v>
      </c>
      <c r="E384" s="3" t="str">
        <f>TRIM(CLEAN(PROPER(tblClean[[#This Row],[Category]])))</f>
        <v>Health &amp; Fitness</v>
      </c>
      <c r="F384" s="11" t="s">
        <v>784</v>
      </c>
      <c r="G384" s="2" t="s">
        <v>8</v>
      </c>
      <c r="H384" s="15">
        <f>MONTH(tblClean[[#This Row],[Date]])</f>
        <v>4</v>
      </c>
      <c r="I384" s="15">
        <f>YEAR(tblClean[[#This Row],[Date]])</f>
        <v>2021</v>
      </c>
    </row>
    <row r="385" spans="1:9" x14ac:dyDescent="0.25">
      <c r="A385" s="7">
        <v>44305</v>
      </c>
      <c r="B385" s="2" t="s">
        <v>787</v>
      </c>
      <c r="C385" s="4" t="str">
        <f>TRIM(CLEAN(PROPER(tblClean[[#This Row],[Transaction Description]])))</f>
        <v>Five Our Pull Fly Few.</v>
      </c>
      <c r="D385" s="2" t="s">
        <v>16</v>
      </c>
      <c r="E385" s="3" t="str">
        <f>TRIM(CLEAN(PROPER(tblClean[[#This Row],[Category]])))</f>
        <v>Investment</v>
      </c>
      <c r="F385" s="11" t="s">
        <v>788</v>
      </c>
      <c r="G385" s="2" t="s">
        <v>18</v>
      </c>
      <c r="H385" s="15">
        <f>MONTH(tblClean[[#This Row],[Date]])</f>
        <v>4</v>
      </c>
      <c r="I385" s="15">
        <f>YEAR(tblClean[[#This Row],[Date]])</f>
        <v>2021</v>
      </c>
    </row>
    <row r="386" spans="1:9" x14ac:dyDescent="0.25">
      <c r="A386" s="6">
        <v>44305</v>
      </c>
      <c r="B386" s="1" t="s">
        <v>785</v>
      </c>
      <c r="C386" s="3" t="str">
        <f>TRIM(CLEAN(PROPER(tblClean[[#This Row],[Transaction Description]])))</f>
        <v>Cell Year.</v>
      </c>
      <c r="D386" s="1" t="s">
        <v>13</v>
      </c>
      <c r="E386" s="3" t="str">
        <f>TRIM(CLEAN(PROPER(tblClean[[#This Row],[Category]])))</f>
        <v>Rent</v>
      </c>
      <c r="F386" s="10" t="s">
        <v>786</v>
      </c>
      <c r="G386" s="1" t="s">
        <v>8</v>
      </c>
      <c r="H386" s="15">
        <f>MONTH(tblClean[[#This Row],[Date]])</f>
        <v>4</v>
      </c>
      <c r="I386" s="15">
        <f>YEAR(tblClean[[#This Row],[Date]])</f>
        <v>2021</v>
      </c>
    </row>
    <row r="387" spans="1:9" x14ac:dyDescent="0.25">
      <c r="A387" s="6">
        <v>44305</v>
      </c>
      <c r="B387" s="1" t="s">
        <v>781</v>
      </c>
      <c r="C387" s="3" t="str">
        <f>TRIM(CLEAN(PROPER(tblClean[[#This Row],[Transaction Description]])))</f>
        <v>Deal Beyond Almost.</v>
      </c>
      <c r="D387" s="1" t="s">
        <v>22</v>
      </c>
      <c r="E387" s="3" t="str">
        <f>TRIM(CLEAN(PROPER(tblClean[[#This Row],[Category]])))</f>
        <v>Shopping</v>
      </c>
      <c r="F387" s="10" t="s">
        <v>782</v>
      </c>
      <c r="G387" s="1" t="s">
        <v>8</v>
      </c>
      <c r="H387" s="15">
        <f>MONTH(tblClean[[#This Row],[Date]])</f>
        <v>4</v>
      </c>
      <c r="I387" s="15">
        <f>YEAR(tblClean[[#This Row],[Date]])</f>
        <v>2021</v>
      </c>
    </row>
    <row r="388" spans="1:9" x14ac:dyDescent="0.25">
      <c r="A388" s="6">
        <v>44307</v>
      </c>
      <c r="B388" s="1" t="s">
        <v>789</v>
      </c>
      <c r="C388" s="3" t="str">
        <f>TRIM(CLEAN(PROPER(tblClean[[#This Row],[Transaction Description]])))</f>
        <v>Determine Feel Article We They.</v>
      </c>
      <c r="D388" s="1" t="s">
        <v>22</v>
      </c>
      <c r="E388" s="3" t="str">
        <f>TRIM(CLEAN(PROPER(tblClean[[#This Row],[Category]])))</f>
        <v>Shopping</v>
      </c>
      <c r="F388" s="10" t="s">
        <v>790</v>
      </c>
      <c r="G388" s="1" t="s">
        <v>8</v>
      </c>
      <c r="H388" s="15">
        <f>MONTH(tblClean[[#This Row],[Date]])</f>
        <v>4</v>
      </c>
      <c r="I388" s="15">
        <f>YEAR(tblClean[[#This Row],[Date]])</f>
        <v>2021</v>
      </c>
    </row>
    <row r="389" spans="1:9" x14ac:dyDescent="0.25">
      <c r="A389" s="6">
        <v>44309</v>
      </c>
      <c r="B389" s="1" t="s">
        <v>793</v>
      </c>
      <c r="C389" s="3" t="str">
        <f>TRIM(CLEAN(PROPER(tblClean[[#This Row],[Transaction Description]])))</f>
        <v>Five Indicate Chance Heavy Senior.</v>
      </c>
      <c r="D389" s="1" t="s">
        <v>35</v>
      </c>
      <c r="E389" s="3" t="str">
        <f>TRIM(CLEAN(PROPER(tblClean[[#This Row],[Category]])))</f>
        <v>Health &amp; Fitness</v>
      </c>
      <c r="F389" s="10" t="s">
        <v>794</v>
      </c>
      <c r="G389" s="1" t="s">
        <v>8</v>
      </c>
      <c r="H389" s="15">
        <f>MONTH(tblClean[[#This Row],[Date]])</f>
        <v>4</v>
      </c>
      <c r="I389" s="15">
        <f>YEAR(tblClean[[#This Row],[Date]])</f>
        <v>2021</v>
      </c>
    </row>
    <row r="390" spans="1:9" x14ac:dyDescent="0.25">
      <c r="A390" s="7">
        <v>44309</v>
      </c>
      <c r="B390" s="2" t="s">
        <v>791</v>
      </c>
      <c r="C390" s="4" t="str">
        <f>TRIM(CLEAN(PROPER(tblClean[[#This Row],[Transaction Description]])))</f>
        <v>Quickly New Another General Poor.</v>
      </c>
      <c r="D390" s="2" t="s">
        <v>53</v>
      </c>
      <c r="E390" s="3" t="str">
        <f>TRIM(CLEAN(PROPER(tblClean[[#This Row],[Category]])))</f>
        <v>Travel</v>
      </c>
      <c r="F390" s="11" t="s">
        <v>792</v>
      </c>
      <c r="G390" s="2" t="s">
        <v>8</v>
      </c>
      <c r="H390" s="15">
        <f>MONTH(tblClean[[#This Row],[Date]])</f>
        <v>4</v>
      </c>
      <c r="I390" s="15">
        <f>YEAR(tblClean[[#This Row],[Date]])</f>
        <v>2021</v>
      </c>
    </row>
    <row r="391" spans="1:9" x14ac:dyDescent="0.25">
      <c r="A391" s="7">
        <v>44310</v>
      </c>
      <c r="B391" s="2" t="s">
        <v>795</v>
      </c>
      <c r="C391" s="4" t="str">
        <f>TRIM(CLEAN(PROPER(tblClean[[#This Row],[Transaction Description]])))</f>
        <v>Support Feeling Remain.</v>
      </c>
      <c r="D391" s="2" t="s">
        <v>38</v>
      </c>
      <c r="E391" s="3" t="str">
        <f>TRIM(CLEAN(PROPER(tblClean[[#This Row],[Category]])))</f>
        <v>Salary</v>
      </c>
      <c r="F391" s="11" t="s">
        <v>796</v>
      </c>
      <c r="G391" s="2" t="s">
        <v>8</v>
      </c>
      <c r="H391" s="15">
        <f>MONTH(tblClean[[#This Row],[Date]])</f>
        <v>4</v>
      </c>
      <c r="I391" s="15">
        <f>YEAR(tblClean[[#This Row],[Date]])</f>
        <v>2021</v>
      </c>
    </row>
    <row r="392" spans="1:9" x14ac:dyDescent="0.25">
      <c r="A392" s="6">
        <v>44313</v>
      </c>
      <c r="B392" s="1" t="s">
        <v>797</v>
      </c>
      <c r="C392" s="3" t="str">
        <f>TRIM(CLEAN(PROPER(tblClean[[#This Row],[Transaction Description]])))</f>
        <v>None Whose.</v>
      </c>
      <c r="D392" s="1" t="s">
        <v>30</v>
      </c>
      <c r="E392" s="3" t="str">
        <f>TRIM(CLEAN(PROPER(tblClean[[#This Row],[Category]])))</f>
        <v>Entertainment</v>
      </c>
      <c r="F392" s="10" t="s">
        <v>798</v>
      </c>
      <c r="G392" s="1" t="s">
        <v>8</v>
      </c>
      <c r="H392" s="15">
        <f>MONTH(tblClean[[#This Row],[Date]])</f>
        <v>4</v>
      </c>
      <c r="I392" s="15">
        <f>YEAR(tblClean[[#This Row],[Date]])</f>
        <v>2021</v>
      </c>
    </row>
    <row r="393" spans="1:9" x14ac:dyDescent="0.25">
      <c r="A393" s="7">
        <v>44313</v>
      </c>
      <c r="B393" s="2" t="s">
        <v>799</v>
      </c>
      <c r="C393" s="4" t="str">
        <f>TRIM(CLEAN(PROPER(tblClean[[#This Row],[Transaction Description]])))</f>
        <v>Care Drug Data Position Two.</v>
      </c>
      <c r="D393" s="2" t="s">
        <v>6</v>
      </c>
      <c r="E393" s="3" t="str">
        <f>TRIM(CLEAN(PROPER(tblClean[[#This Row],[Category]])))</f>
        <v>Food &amp; Drink</v>
      </c>
      <c r="F393" s="11" t="s">
        <v>800</v>
      </c>
      <c r="G393" s="2" t="s">
        <v>8</v>
      </c>
      <c r="H393" s="15">
        <f>MONTH(tblClean[[#This Row],[Date]])</f>
        <v>4</v>
      </c>
      <c r="I393" s="15">
        <f>YEAR(tblClean[[#This Row],[Date]])</f>
        <v>2021</v>
      </c>
    </row>
    <row r="394" spans="1:9" x14ac:dyDescent="0.25">
      <c r="A394" s="6">
        <v>44313</v>
      </c>
      <c r="B394" s="1" t="s">
        <v>801</v>
      </c>
      <c r="C394" s="3" t="str">
        <f>TRIM(CLEAN(PROPER(tblClean[[#This Row],[Transaction Description]])))</f>
        <v>Movie Stop.</v>
      </c>
      <c r="D394" s="1" t="s">
        <v>10</v>
      </c>
      <c r="E394" s="3" t="str">
        <f>TRIM(CLEAN(PROPER(tblClean[[#This Row],[Category]])))</f>
        <v>Utilities</v>
      </c>
      <c r="F394" s="10" t="s">
        <v>802</v>
      </c>
      <c r="G394" s="1" t="s">
        <v>8</v>
      </c>
      <c r="H394" s="15">
        <f>MONTH(tblClean[[#This Row],[Date]])</f>
        <v>4</v>
      </c>
      <c r="I394" s="15">
        <f>YEAR(tblClean[[#This Row],[Date]])</f>
        <v>2021</v>
      </c>
    </row>
    <row r="395" spans="1:9" x14ac:dyDescent="0.25">
      <c r="A395" s="7">
        <v>44316</v>
      </c>
      <c r="B395" s="2" t="s">
        <v>803</v>
      </c>
      <c r="C395" s="4" t="str">
        <f>TRIM(CLEAN(PROPER(tblClean[[#This Row],[Transaction Description]])))</f>
        <v>Help Painting Always.</v>
      </c>
      <c r="D395" s="2" t="s">
        <v>13</v>
      </c>
      <c r="E395" s="3" t="str">
        <f>TRIM(CLEAN(PROPER(tblClean[[#This Row],[Category]])))</f>
        <v>Rent</v>
      </c>
      <c r="F395" s="11" t="s">
        <v>804</v>
      </c>
      <c r="G395" s="2" t="s">
        <v>8</v>
      </c>
      <c r="H395" s="15">
        <f>MONTH(tblClean[[#This Row],[Date]])</f>
        <v>4</v>
      </c>
      <c r="I395" s="15">
        <f>YEAR(tblClean[[#This Row],[Date]])</f>
        <v>2021</v>
      </c>
    </row>
    <row r="396" spans="1:9" x14ac:dyDescent="0.25">
      <c r="A396" s="6">
        <v>44318</v>
      </c>
      <c r="B396" s="1" t="s">
        <v>805</v>
      </c>
      <c r="C396" s="3" t="str">
        <f>TRIM(CLEAN(PROPER(tblClean[[#This Row],[Transaction Description]])))</f>
        <v>Source Onto Provide.</v>
      </c>
      <c r="D396" s="1" t="s">
        <v>10</v>
      </c>
      <c r="E396" s="3" t="str">
        <f>TRIM(CLEAN(PROPER(tblClean[[#This Row],[Category]])))</f>
        <v>Utilities</v>
      </c>
      <c r="F396" s="10" t="s">
        <v>806</v>
      </c>
      <c r="G396" s="1" t="s">
        <v>8</v>
      </c>
      <c r="H396" s="15">
        <f>MONTH(tblClean[[#This Row],[Date]])</f>
        <v>5</v>
      </c>
      <c r="I396" s="15">
        <f>YEAR(tblClean[[#This Row],[Date]])</f>
        <v>2021</v>
      </c>
    </row>
    <row r="397" spans="1:9" x14ac:dyDescent="0.25">
      <c r="A397" s="7">
        <v>44320</v>
      </c>
      <c r="B397" s="2" t="s">
        <v>807</v>
      </c>
      <c r="C397" s="4" t="str">
        <f>TRIM(CLEAN(PROPER(tblClean[[#This Row],[Transaction Description]])))</f>
        <v>Decade Trade Field Training.</v>
      </c>
      <c r="D397" s="2" t="s">
        <v>30</v>
      </c>
      <c r="E397" s="3" t="str">
        <f>TRIM(CLEAN(PROPER(tblClean[[#This Row],[Category]])))</f>
        <v>Entertainment</v>
      </c>
      <c r="F397" s="11" t="s">
        <v>808</v>
      </c>
      <c r="G397" s="2" t="s">
        <v>8</v>
      </c>
      <c r="H397" s="15">
        <f>MONTH(tblClean[[#This Row],[Date]])</f>
        <v>5</v>
      </c>
      <c r="I397" s="15">
        <f>YEAR(tblClean[[#This Row],[Date]])</f>
        <v>2021</v>
      </c>
    </row>
    <row r="398" spans="1:9" x14ac:dyDescent="0.25">
      <c r="A398" s="6">
        <v>44320</v>
      </c>
      <c r="B398" s="1" t="s">
        <v>809</v>
      </c>
      <c r="C398" s="3" t="str">
        <f>TRIM(CLEAN(PROPER(tblClean[[#This Row],[Transaction Description]])))</f>
        <v>While Bring Yourself.</v>
      </c>
      <c r="D398" s="1" t="s">
        <v>35</v>
      </c>
      <c r="E398" s="3" t="str">
        <f>TRIM(CLEAN(PROPER(tblClean[[#This Row],[Category]])))</f>
        <v>Health &amp; Fitness</v>
      </c>
      <c r="F398" s="10" t="s">
        <v>810</v>
      </c>
      <c r="G398" s="1" t="s">
        <v>8</v>
      </c>
      <c r="H398" s="15">
        <f>MONTH(tblClean[[#This Row],[Date]])</f>
        <v>5</v>
      </c>
      <c r="I398" s="15">
        <f>YEAR(tblClean[[#This Row],[Date]])</f>
        <v>2021</v>
      </c>
    </row>
    <row r="399" spans="1:9" x14ac:dyDescent="0.25">
      <c r="A399" s="7">
        <v>44322</v>
      </c>
      <c r="B399" s="2" t="s">
        <v>811</v>
      </c>
      <c r="C399" s="4" t="str">
        <f>TRIM(CLEAN(PROPER(tblClean[[#This Row],[Transaction Description]])))</f>
        <v>Receive Region However.</v>
      </c>
      <c r="D399" s="2" t="s">
        <v>6</v>
      </c>
      <c r="E399" s="3" t="str">
        <f>TRIM(CLEAN(PROPER(tblClean[[#This Row],[Category]])))</f>
        <v>Food &amp; Drink</v>
      </c>
      <c r="F399" s="11" t="s">
        <v>812</v>
      </c>
      <c r="G399" s="2" t="s">
        <v>8</v>
      </c>
      <c r="H399" s="15">
        <f>MONTH(tblClean[[#This Row],[Date]])</f>
        <v>5</v>
      </c>
      <c r="I399" s="15">
        <f>YEAR(tblClean[[#This Row],[Date]])</f>
        <v>2021</v>
      </c>
    </row>
    <row r="400" spans="1:9" x14ac:dyDescent="0.25">
      <c r="A400" s="6">
        <v>44323</v>
      </c>
      <c r="B400" s="1" t="s">
        <v>813</v>
      </c>
      <c r="C400" s="3" t="str">
        <f>TRIM(CLEAN(PROPER(tblClean[[#This Row],[Transaction Description]])))</f>
        <v>Focus Executive Letter Possible Final.</v>
      </c>
      <c r="D400" s="1" t="s">
        <v>13</v>
      </c>
      <c r="E400" s="3" t="str">
        <f>TRIM(CLEAN(PROPER(tblClean[[#This Row],[Category]])))</f>
        <v>Rent</v>
      </c>
      <c r="F400" s="10" t="s">
        <v>814</v>
      </c>
      <c r="G400" s="1" t="s">
        <v>8</v>
      </c>
      <c r="H400" s="15">
        <f>MONTH(tblClean[[#This Row],[Date]])</f>
        <v>5</v>
      </c>
      <c r="I400" s="15">
        <f>YEAR(tblClean[[#This Row],[Date]])</f>
        <v>2021</v>
      </c>
    </row>
    <row r="401" spans="1:9" x14ac:dyDescent="0.25">
      <c r="A401" s="6">
        <v>44323</v>
      </c>
      <c r="B401" s="1" t="s">
        <v>817</v>
      </c>
      <c r="C401" s="3" t="str">
        <f>TRIM(CLEAN(PROPER(tblClean[[#This Row],[Transaction Description]])))</f>
        <v>Have Including None.</v>
      </c>
      <c r="D401" s="1" t="s">
        <v>13</v>
      </c>
      <c r="E401" s="3" t="str">
        <f>TRIM(CLEAN(PROPER(tblClean[[#This Row],[Category]])))</f>
        <v>Rent</v>
      </c>
      <c r="F401" s="10" t="s">
        <v>818</v>
      </c>
      <c r="G401" s="1" t="s">
        <v>8</v>
      </c>
      <c r="H401" s="15">
        <f>MONTH(tblClean[[#This Row],[Date]])</f>
        <v>5</v>
      </c>
      <c r="I401" s="15">
        <f>YEAR(tblClean[[#This Row],[Date]])</f>
        <v>2021</v>
      </c>
    </row>
    <row r="402" spans="1:9" x14ac:dyDescent="0.25">
      <c r="A402" s="7">
        <v>44323</v>
      </c>
      <c r="B402" s="2" t="s">
        <v>815</v>
      </c>
      <c r="C402" s="4" t="str">
        <f>TRIM(CLEAN(PROPER(tblClean[[#This Row],[Transaction Description]])))</f>
        <v>Third Letter Sort Reveal Seven.</v>
      </c>
      <c r="D402" s="2" t="s">
        <v>22</v>
      </c>
      <c r="E402" s="3" t="str">
        <f>TRIM(CLEAN(PROPER(tblClean[[#This Row],[Category]])))</f>
        <v>Shopping</v>
      </c>
      <c r="F402" s="11" t="s">
        <v>816</v>
      </c>
      <c r="G402" s="2" t="s">
        <v>8</v>
      </c>
      <c r="H402" s="15">
        <f>MONTH(tblClean[[#This Row],[Date]])</f>
        <v>5</v>
      </c>
      <c r="I402" s="15">
        <f>YEAR(tblClean[[#This Row],[Date]])</f>
        <v>2021</v>
      </c>
    </row>
    <row r="403" spans="1:9" x14ac:dyDescent="0.25">
      <c r="A403" s="7">
        <v>44326</v>
      </c>
      <c r="B403" s="2" t="s">
        <v>819</v>
      </c>
      <c r="C403" s="4" t="str">
        <f>TRIM(CLEAN(PROPER(tblClean[[#This Row],[Transaction Description]])))</f>
        <v>Administration Network Once.</v>
      </c>
      <c r="D403" s="2" t="s">
        <v>10</v>
      </c>
      <c r="E403" s="3" t="str">
        <f>TRIM(CLEAN(PROPER(tblClean[[#This Row],[Category]])))</f>
        <v>Utilities</v>
      </c>
      <c r="F403" s="11" t="s">
        <v>820</v>
      </c>
      <c r="G403" s="2" t="s">
        <v>8</v>
      </c>
      <c r="H403" s="15">
        <f>MONTH(tblClean[[#This Row],[Date]])</f>
        <v>5</v>
      </c>
      <c r="I403" s="15">
        <f>YEAR(tblClean[[#This Row],[Date]])</f>
        <v>2021</v>
      </c>
    </row>
    <row r="404" spans="1:9" x14ac:dyDescent="0.25">
      <c r="A404" s="7">
        <v>44327</v>
      </c>
      <c r="B404" s="2" t="s">
        <v>823</v>
      </c>
      <c r="C404" s="4" t="str">
        <f>TRIM(CLEAN(PROPER(tblClean[[#This Row],[Transaction Description]])))</f>
        <v>Nearly Want Front Shake.</v>
      </c>
      <c r="D404" s="2" t="s">
        <v>30</v>
      </c>
      <c r="E404" s="3" t="str">
        <f>TRIM(CLEAN(PROPER(tblClean[[#This Row],[Category]])))</f>
        <v>Entertainment</v>
      </c>
      <c r="F404" s="11" t="s">
        <v>824</v>
      </c>
      <c r="G404" s="2" t="s">
        <v>8</v>
      </c>
      <c r="H404" s="15">
        <f>MONTH(tblClean[[#This Row],[Date]])</f>
        <v>5</v>
      </c>
      <c r="I404" s="15">
        <f>YEAR(tblClean[[#This Row],[Date]])</f>
        <v>2021</v>
      </c>
    </row>
    <row r="405" spans="1:9" x14ac:dyDescent="0.25">
      <c r="A405" s="6">
        <v>44327</v>
      </c>
      <c r="B405" s="1" t="s">
        <v>821</v>
      </c>
      <c r="C405" s="3" t="str">
        <f>TRIM(CLEAN(PROPER(tblClean[[#This Row],[Transaction Description]])))</f>
        <v>Charge Form Here.</v>
      </c>
      <c r="D405" s="1" t="s">
        <v>35</v>
      </c>
      <c r="E405" s="3" t="str">
        <f>TRIM(CLEAN(PROPER(tblClean[[#This Row],[Category]])))</f>
        <v>Health &amp; Fitness</v>
      </c>
      <c r="F405" s="10" t="s">
        <v>822</v>
      </c>
      <c r="G405" s="1" t="s">
        <v>8</v>
      </c>
      <c r="H405" s="15">
        <f>MONTH(tblClean[[#This Row],[Date]])</f>
        <v>5</v>
      </c>
      <c r="I405" s="15">
        <f>YEAR(tblClean[[#This Row],[Date]])</f>
        <v>2021</v>
      </c>
    </row>
    <row r="406" spans="1:9" x14ac:dyDescent="0.25">
      <c r="A406" s="6">
        <v>44328</v>
      </c>
      <c r="B406" s="1" t="s">
        <v>825</v>
      </c>
      <c r="C406" s="3" t="str">
        <f>TRIM(CLEAN(PROPER(tblClean[[#This Row],[Transaction Description]])))</f>
        <v>Leave Run Goal Cause.</v>
      </c>
      <c r="D406" s="1" t="s">
        <v>13</v>
      </c>
      <c r="E406" s="3" t="str">
        <f>TRIM(CLEAN(PROPER(tblClean[[#This Row],[Category]])))</f>
        <v>Rent</v>
      </c>
      <c r="F406" s="10" t="s">
        <v>826</v>
      </c>
      <c r="G406" s="1" t="s">
        <v>8</v>
      </c>
      <c r="H406" s="15">
        <f>MONTH(tblClean[[#This Row],[Date]])</f>
        <v>5</v>
      </c>
      <c r="I406" s="15">
        <f>YEAR(tblClean[[#This Row],[Date]])</f>
        <v>2021</v>
      </c>
    </row>
    <row r="407" spans="1:9" x14ac:dyDescent="0.25">
      <c r="A407" s="7">
        <v>44330</v>
      </c>
      <c r="B407" s="2" t="s">
        <v>827</v>
      </c>
      <c r="C407" s="4" t="str">
        <f>TRIM(CLEAN(PROPER(tblClean[[#This Row],[Transaction Description]])))</f>
        <v>Contain Threat Wrong Whatever.</v>
      </c>
      <c r="D407" s="2" t="s">
        <v>35</v>
      </c>
      <c r="E407" s="3" t="str">
        <f>TRIM(CLEAN(PROPER(tblClean[[#This Row],[Category]])))</f>
        <v>Health &amp; Fitness</v>
      </c>
      <c r="F407" s="11" t="s">
        <v>828</v>
      </c>
      <c r="G407" s="2" t="s">
        <v>8</v>
      </c>
      <c r="H407" s="15">
        <f>MONTH(tblClean[[#This Row],[Date]])</f>
        <v>5</v>
      </c>
      <c r="I407" s="15">
        <f>YEAR(tblClean[[#This Row],[Date]])</f>
        <v>2021</v>
      </c>
    </row>
    <row r="408" spans="1:9" x14ac:dyDescent="0.25">
      <c r="A408" s="6">
        <v>44330</v>
      </c>
      <c r="B408" s="1" t="s">
        <v>829</v>
      </c>
      <c r="C408" s="3" t="str">
        <f>TRIM(CLEAN(PROPER(tblClean[[#This Row],[Transaction Description]])))</f>
        <v>Stuff Avoid.</v>
      </c>
      <c r="D408" s="1" t="s">
        <v>13</v>
      </c>
      <c r="E408" s="3" t="str">
        <f>TRIM(CLEAN(PROPER(tblClean[[#This Row],[Category]])))</f>
        <v>Rent</v>
      </c>
      <c r="F408" s="10" t="s">
        <v>830</v>
      </c>
      <c r="G408" s="1" t="s">
        <v>8</v>
      </c>
      <c r="H408" s="15">
        <f>MONTH(tblClean[[#This Row],[Date]])</f>
        <v>5</v>
      </c>
      <c r="I408" s="15">
        <f>YEAR(tblClean[[#This Row],[Date]])</f>
        <v>2021</v>
      </c>
    </row>
    <row r="409" spans="1:9" x14ac:dyDescent="0.25">
      <c r="A409" s="7">
        <v>44331</v>
      </c>
      <c r="B409" s="2" t="s">
        <v>831</v>
      </c>
      <c r="C409" s="4" t="str">
        <f>TRIM(CLEAN(PROPER(tblClean[[#This Row],[Transaction Description]])))</f>
        <v>Include Successful.</v>
      </c>
      <c r="D409" s="2" t="s">
        <v>16</v>
      </c>
      <c r="E409" s="3" t="str">
        <f>TRIM(CLEAN(PROPER(tblClean[[#This Row],[Category]])))</f>
        <v>Investment</v>
      </c>
      <c r="F409" s="11" t="s">
        <v>832</v>
      </c>
      <c r="G409" s="2" t="s">
        <v>18</v>
      </c>
      <c r="H409" s="15">
        <f>MONTH(tblClean[[#This Row],[Date]])</f>
        <v>5</v>
      </c>
      <c r="I409" s="15">
        <f>YEAR(tblClean[[#This Row],[Date]])</f>
        <v>2021</v>
      </c>
    </row>
    <row r="410" spans="1:9" x14ac:dyDescent="0.25">
      <c r="A410" s="6">
        <v>44333</v>
      </c>
      <c r="B410" s="1" t="s">
        <v>833</v>
      </c>
      <c r="C410" s="3" t="str">
        <f>TRIM(CLEAN(PROPER(tblClean[[#This Row],[Transaction Description]])))</f>
        <v>Religious Across.</v>
      </c>
      <c r="D410" s="1" t="s">
        <v>10</v>
      </c>
      <c r="E410" s="3" t="str">
        <f>TRIM(CLEAN(PROPER(tblClean[[#This Row],[Category]])))</f>
        <v>Utilities</v>
      </c>
      <c r="F410" s="10" t="s">
        <v>834</v>
      </c>
      <c r="G410" s="1" t="s">
        <v>8</v>
      </c>
      <c r="H410" s="15">
        <f>MONTH(tblClean[[#This Row],[Date]])</f>
        <v>5</v>
      </c>
      <c r="I410" s="15">
        <f>YEAR(tblClean[[#This Row],[Date]])</f>
        <v>2021</v>
      </c>
    </row>
    <row r="411" spans="1:9" x14ac:dyDescent="0.25">
      <c r="A411" s="7">
        <v>44335</v>
      </c>
      <c r="B411" s="2" t="s">
        <v>835</v>
      </c>
      <c r="C411" s="4" t="str">
        <f>TRIM(CLEAN(PROPER(tblClean[[#This Row],[Transaction Description]])))</f>
        <v>Health Pay Project Pattern.</v>
      </c>
      <c r="D411" s="2" t="s">
        <v>16</v>
      </c>
      <c r="E411" s="3" t="str">
        <f>TRIM(CLEAN(PROPER(tblClean[[#This Row],[Category]])))</f>
        <v>Investment</v>
      </c>
      <c r="F411" s="11" t="s">
        <v>836</v>
      </c>
      <c r="G411" s="2" t="s">
        <v>18</v>
      </c>
      <c r="H411" s="15">
        <f>MONTH(tblClean[[#This Row],[Date]])</f>
        <v>5</v>
      </c>
      <c r="I411" s="15">
        <f>YEAR(tblClean[[#This Row],[Date]])</f>
        <v>2021</v>
      </c>
    </row>
    <row r="412" spans="1:9" x14ac:dyDescent="0.25">
      <c r="A412" s="6">
        <v>44338</v>
      </c>
      <c r="B412" s="1" t="s">
        <v>837</v>
      </c>
      <c r="C412" s="3" t="str">
        <f>TRIM(CLEAN(PROPER(tblClean[[#This Row],[Transaction Description]])))</f>
        <v>Administration Mother In Admit.</v>
      </c>
      <c r="D412" s="1" t="s">
        <v>13</v>
      </c>
      <c r="E412" s="3" t="str">
        <f>TRIM(CLEAN(PROPER(tblClean[[#This Row],[Category]])))</f>
        <v>Rent</v>
      </c>
      <c r="F412" s="10" t="s">
        <v>838</v>
      </c>
      <c r="G412" s="1" t="s">
        <v>8</v>
      </c>
      <c r="H412" s="15">
        <f>MONTH(tblClean[[#This Row],[Date]])</f>
        <v>5</v>
      </c>
      <c r="I412" s="15">
        <f>YEAR(tblClean[[#This Row],[Date]])</f>
        <v>2021</v>
      </c>
    </row>
    <row r="413" spans="1:9" x14ac:dyDescent="0.25">
      <c r="A413" s="7">
        <v>44339</v>
      </c>
      <c r="B413" s="2" t="s">
        <v>839</v>
      </c>
      <c r="C413" s="4" t="str">
        <f>TRIM(CLEAN(PROPER(tblClean[[#This Row],[Transaction Description]])))</f>
        <v>Within Admit Spend Purpose South.</v>
      </c>
      <c r="D413" s="2" t="s">
        <v>38</v>
      </c>
      <c r="E413" s="3" t="str">
        <f>TRIM(CLEAN(PROPER(tblClean[[#This Row],[Category]])))</f>
        <v>Salary</v>
      </c>
      <c r="F413" s="11" t="s">
        <v>840</v>
      </c>
      <c r="G413" s="2" t="s">
        <v>8</v>
      </c>
      <c r="H413" s="15">
        <f>MONTH(tblClean[[#This Row],[Date]])</f>
        <v>5</v>
      </c>
      <c r="I413" s="15">
        <f>YEAR(tblClean[[#This Row],[Date]])</f>
        <v>2021</v>
      </c>
    </row>
    <row r="414" spans="1:9" x14ac:dyDescent="0.25">
      <c r="A414" s="7">
        <v>44340</v>
      </c>
      <c r="B414" s="2" t="s">
        <v>843</v>
      </c>
      <c r="C414" s="4" t="str">
        <f>TRIM(CLEAN(PROPER(tblClean[[#This Row],[Transaction Description]])))</f>
        <v>People Education Great.</v>
      </c>
      <c r="D414" s="2" t="s">
        <v>35</v>
      </c>
      <c r="E414" s="3" t="str">
        <f>TRIM(CLEAN(PROPER(tblClean[[#This Row],[Category]])))</f>
        <v>Health &amp; Fitness</v>
      </c>
      <c r="F414" s="11" t="s">
        <v>844</v>
      </c>
      <c r="G414" s="2" t="s">
        <v>8</v>
      </c>
      <c r="H414" s="15">
        <f>MONTH(tblClean[[#This Row],[Date]])</f>
        <v>5</v>
      </c>
      <c r="I414" s="15">
        <f>YEAR(tblClean[[#This Row],[Date]])</f>
        <v>2021</v>
      </c>
    </row>
    <row r="415" spans="1:9" x14ac:dyDescent="0.25">
      <c r="A415" s="6">
        <v>44340</v>
      </c>
      <c r="B415" s="1" t="s">
        <v>841</v>
      </c>
      <c r="C415" s="3" t="str">
        <f>TRIM(CLEAN(PROPER(tblClean[[#This Row],[Transaction Description]])))</f>
        <v>Truth Modern.</v>
      </c>
      <c r="D415" s="1" t="s">
        <v>38</v>
      </c>
      <c r="E415" s="3" t="str">
        <f>TRIM(CLEAN(PROPER(tblClean[[#This Row],[Category]])))</f>
        <v>Salary</v>
      </c>
      <c r="F415" s="10" t="s">
        <v>842</v>
      </c>
      <c r="G415" s="1" t="s">
        <v>8</v>
      </c>
      <c r="H415" s="15">
        <f>MONTH(tblClean[[#This Row],[Date]])</f>
        <v>5</v>
      </c>
      <c r="I415" s="15">
        <f>YEAR(tblClean[[#This Row],[Date]])</f>
        <v>2021</v>
      </c>
    </row>
    <row r="416" spans="1:9" x14ac:dyDescent="0.25">
      <c r="A416" s="6">
        <v>44340</v>
      </c>
      <c r="B416" s="1" t="s">
        <v>845</v>
      </c>
      <c r="C416" s="3" t="str">
        <f>TRIM(CLEAN(PROPER(tblClean[[#This Row],[Transaction Description]])))</f>
        <v>Health Image.</v>
      </c>
      <c r="D416" s="1" t="s">
        <v>10</v>
      </c>
      <c r="E416" s="3" t="str">
        <f>TRIM(CLEAN(PROPER(tblClean[[#This Row],[Category]])))</f>
        <v>Utilities</v>
      </c>
      <c r="F416" s="10" t="s">
        <v>846</v>
      </c>
      <c r="G416" s="1" t="s">
        <v>8</v>
      </c>
      <c r="H416" s="15">
        <f>MONTH(tblClean[[#This Row],[Date]])</f>
        <v>5</v>
      </c>
      <c r="I416" s="15">
        <f>YEAR(tblClean[[#This Row],[Date]])</f>
        <v>2021</v>
      </c>
    </row>
    <row r="417" spans="1:9" x14ac:dyDescent="0.25">
      <c r="A417" s="6">
        <v>44341</v>
      </c>
      <c r="B417" s="1" t="s">
        <v>849</v>
      </c>
      <c r="C417" s="3" t="str">
        <f>TRIM(CLEAN(PROPER(tblClean[[#This Row],[Transaction Description]])))</f>
        <v>Behavior Here.</v>
      </c>
      <c r="D417" s="1" t="s">
        <v>35</v>
      </c>
      <c r="E417" s="3" t="str">
        <f>TRIM(CLEAN(PROPER(tblClean[[#This Row],[Category]])))</f>
        <v>Health &amp; Fitness</v>
      </c>
      <c r="F417" s="10" t="s">
        <v>850</v>
      </c>
      <c r="G417" s="1" t="s">
        <v>8</v>
      </c>
      <c r="H417" s="15">
        <f>MONTH(tblClean[[#This Row],[Date]])</f>
        <v>5</v>
      </c>
      <c r="I417" s="15">
        <f>YEAR(tblClean[[#This Row],[Date]])</f>
        <v>2021</v>
      </c>
    </row>
    <row r="418" spans="1:9" x14ac:dyDescent="0.25">
      <c r="A418" s="7">
        <v>44341</v>
      </c>
      <c r="B418" s="2" t="s">
        <v>847</v>
      </c>
      <c r="C418" s="4" t="str">
        <f>TRIM(CLEAN(PROPER(tblClean[[#This Row],[Transaction Description]])))</f>
        <v>Wrong Difficult Range.</v>
      </c>
      <c r="D418" s="2" t="s">
        <v>53</v>
      </c>
      <c r="E418" s="3" t="str">
        <f>TRIM(CLEAN(PROPER(tblClean[[#This Row],[Category]])))</f>
        <v>Travel</v>
      </c>
      <c r="F418" s="11" t="s">
        <v>848</v>
      </c>
      <c r="G418" s="2" t="s">
        <v>8</v>
      </c>
      <c r="H418" s="15">
        <f>MONTH(tblClean[[#This Row],[Date]])</f>
        <v>5</v>
      </c>
      <c r="I418" s="15">
        <f>YEAR(tblClean[[#This Row],[Date]])</f>
        <v>2021</v>
      </c>
    </row>
    <row r="419" spans="1:9" x14ac:dyDescent="0.25">
      <c r="A419" s="7">
        <v>44343</v>
      </c>
      <c r="B419" s="2" t="s">
        <v>851</v>
      </c>
      <c r="C419" s="4" t="str">
        <f>TRIM(CLEAN(PROPER(tblClean[[#This Row],[Transaction Description]])))</f>
        <v>Argue Act Commercial Matter.</v>
      </c>
      <c r="D419" s="2" t="s">
        <v>38</v>
      </c>
      <c r="E419" s="3" t="str">
        <f>TRIM(CLEAN(PROPER(tblClean[[#This Row],[Category]])))</f>
        <v>Salary</v>
      </c>
      <c r="F419" s="11" t="s">
        <v>852</v>
      </c>
      <c r="G419" s="2" t="s">
        <v>8</v>
      </c>
      <c r="H419" s="15">
        <f>MONTH(tblClean[[#This Row],[Date]])</f>
        <v>5</v>
      </c>
      <c r="I419" s="15">
        <f>YEAR(tblClean[[#This Row],[Date]])</f>
        <v>2021</v>
      </c>
    </row>
    <row r="420" spans="1:9" x14ac:dyDescent="0.25">
      <c r="A420" s="6">
        <v>44343</v>
      </c>
      <c r="B420" s="1" t="s">
        <v>853</v>
      </c>
      <c r="C420" s="3" t="str">
        <f>TRIM(CLEAN(PROPER(tblClean[[#This Row],[Transaction Description]])))</f>
        <v>Not Teach Believe Month.</v>
      </c>
      <c r="D420" s="1" t="s">
        <v>53</v>
      </c>
      <c r="E420" s="3" t="str">
        <f>TRIM(CLEAN(PROPER(tblClean[[#This Row],[Category]])))</f>
        <v>Travel</v>
      </c>
      <c r="F420" s="10" t="s">
        <v>854</v>
      </c>
      <c r="G420" s="1" t="s">
        <v>8</v>
      </c>
      <c r="H420" s="15">
        <f>MONTH(tblClean[[#This Row],[Date]])</f>
        <v>5</v>
      </c>
      <c r="I420" s="15">
        <f>YEAR(tblClean[[#This Row],[Date]])</f>
        <v>2021</v>
      </c>
    </row>
    <row r="421" spans="1:9" x14ac:dyDescent="0.25">
      <c r="A421" s="7">
        <v>44345</v>
      </c>
      <c r="B421" s="2" t="s">
        <v>855</v>
      </c>
      <c r="C421" s="4" t="str">
        <f>TRIM(CLEAN(PROPER(tblClean[[#This Row],[Transaction Description]])))</f>
        <v>Deep Test Thought.</v>
      </c>
      <c r="D421" s="2" t="s">
        <v>13</v>
      </c>
      <c r="E421" s="3" t="str">
        <f>TRIM(CLEAN(PROPER(tblClean[[#This Row],[Category]])))</f>
        <v>Rent</v>
      </c>
      <c r="F421" s="11" t="s">
        <v>856</v>
      </c>
      <c r="G421" s="2" t="s">
        <v>8</v>
      </c>
      <c r="H421" s="15">
        <f>MONTH(tblClean[[#This Row],[Date]])</f>
        <v>5</v>
      </c>
      <c r="I421" s="15">
        <f>YEAR(tblClean[[#This Row],[Date]])</f>
        <v>2021</v>
      </c>
    </row>
    <row r="422" spans="1:9" x14ac:dyDescent="0.25">
      <c r="A422" s="6">
        <v>44346</v>
      </c>
      <c r="B422" s="1" t="s">
        <v>857</v>
      </c>
      <c r="C422" s="3" t="str">
        <f>TRIM(CLEAN(PROPER(tblClean[[#This Row],[Transaction Description]])))</f>
        <v>Another Avoid Understand.</v>
      </c>
      <c r="D422" s="1" t="s">
        <v>38</v>
      </c>
      <c r="E422" s="3" t="str">
        <f>TRIM(CLEAN(PROPER(tblClean[[#This Row],[Category]])))</f>
        <v>Salary</v>
      </c>
      <c r="F422" s="10" t="s">
        <v>858</v>
      </c>
      <c r="G422" s="1" t="s">
        <v>8</v>
      </c>
      <c r="H422" s="15">
        <f>MONTH(tblClean[[#This Row],[Date]])</f>
        <v>5</v>
      </c>
      <c r="I422" s="15">
        <f>YEAR(tblClean[[#This Row],[Date]])</f>
        <v>2021</v>
      </c>
    </row>
    <row r="423" spans="1:9" x14ac:dyDescent="0.25">
      <c r="A423" s="6">
        <v>44347</v>
      </c>
      <c r="B423" s="1" t="s">
        <v>861</v>
      </c>
      <c r="C423" s="3" t="str">
        <f>TRIM(CLEAN(PROPER(tblClean[[#This Row],[Transaction Description]])))</f>
        <v>Up Federal Nor Note.</v>
      </c>
      <c r="D423" s="1" t="s">
        <v>30</v>
      </c>
      <c r="E423" s="3" t="str">
        <f>TRIM(CLEAN(PROPER(tblClean[[#This Row],[Category]])))</f>
        <v>Entertainment</v>
      </c>
      <c r="F423" s="10" t="s">
        <v>862</v>
      </c>
      <c r="G423" s="1" t="s">
        <v>8</v>
      </c>
      <c r="H423" s="15">
        <f>MONTH(tblClean[[#This Row],[Date]])</f>
        <v>5</v>
      </c>
      <c r="I423" s="15">
        <f>YEAR(tblClean[[#This Row],[Date]])</f>
        <v>2021</v>
      </c>
    </row>
    <row r="424" spans="1:9" x14ac:dyDescent="0.25">
      <c r="A424" s="7">
        <v>44347</v>
      </c>
      <c r="B424" s="2" t="s">
        <v>859</v>
      </c>
      <c r="C424" s="4" t="str">
        <f>TRIM(CLEAN(PROPER(tblClean[[#This Row],[Transaction Description]])))</f>
        <v>Probably Conference Sure Administration Debate.</v>
      </c>
      <c r="D424" s="2" t="s">
        <v>6</v>
      </c>
      <c r="E424" s="3" t="str">
        <f>TRIM(CLEAN(PROPER(tblClean[[#This Row],[Category]])))</f>
        <v>Food &amp; Drink</v>
      </c>
      <c r="F424" s="11" t="s">
        <v>860</v>
      </c>
      <c r="G424" s="2" t="s">
        <v>8</v>
      </c>
      <c r="H424" s="15">
        <f>MONTH(tblClean[[#This Row],[Date]])</f>
        <v>5</v>
      </c>
      <c r="I424" s="15">
        <f>YEAR(tblClean[[#This Row],[Date]])</f>
        <v>2021</v>
      </c>
    </row>
    <row r="425" spans="1:9" x14ac:dyDescent="0.25">
      <c r="A425" s="6">
        <v>44349</v>
      </c>
      <c r="B425" s="1" t="s">
        <v>865</v>
      </c>
      <c r="C425" s="3" t="str">
        <f>TRIM(CLEAN(PROPER(tblClean[[#This Row],[Transaction Description]])))</f>
        <v>Approach Join Stuff Future.</v>
      </c>
      <c r="D425" s="1" t="s">
        <v>35</v>
      </c>
      <c r="E425" s="3" t="str">
        <f>TRIM(CLEAN(PROPER(tblClean[[#This Row],[Category]])))</f>
        <v>Health &amp; Fitness</v>
      </c>
      <c r="F425" s="10" t="s">
        <v>866</v>
      </c>
      <c r="G425" s="1" t="s">
        <v>8</v>
      </c>
      <c r="H425" s="15">
        <f>MONTH(tblClean[[#This Row],[Date]])</f>
        <v>6</v>
      </c>
      <c r="I425" s="15">
        <f>YEAR(tblClean[[#This Row],[Date]])</f>
        <v>2021</v>
      </c>
    </row>
    <row r="426" spans="1:9" x14ac:dyDescent="0.25">
      <c r="A426" s="7">
        <v>44349</v>
      </c>
      <c r="B426" s="2" t="s">
        <v>863</v>
      </c>
      <c r="C426" s="4" t="str">
        <f>TRIM(CLEAN(PROPER(tblClean[[#This Row],[Transaction Description]])))</f>
        <v>Forward Sense Cause Write Right.</v>
      </c>
      <c r="D426" s="2" t="s">
        <v>10</v>
      </c>
      <c r="E426" s="3" t="str">
        <f>TRIM(CLEAN(PROPER(tblClean[[#This Row],[Category]])))</f>
        <v>Utilities</v>
      </c>
      <c r="F426" s="11" t="s">
        <v>864</v>
      </c>
      <c r="G426" s="2" t="s">
        <v>8</v>
      </c>
      <c r="H426" s="15">
        <f>MONTH(tblClean[[#This Row],[Date]])</f>
        <v>6</v>
      </c>
      <c r="I426" s="15">
        <f>YEAR(tblClean[[#This Row],[Date]])</f>
        <v>2021</v>
      </c>
    </row>
    <row r="427" spans="1:9" x14ac:dyDescent="0.25">
      <c r="A427" s="7">
        <v>44350</v>
      </c>
      <c r="B427" s="2" t="s">
        <v>867</v>
      </c>
      <c r="C427" s="4" t="str">
        <f>TRIM(CLEAN(PROPER(tblClean[[#This Row],[Transaction Description]])))</f>
        <v>Ahead Event Yeah Make.</v>
      </c>
      <c r="D427" s="2" t="s">
        <v>16</v>
      </c>
      <c r="E427" s="3" t="str">
        <f>TRIM(CLEAN(PROPER(tblClean[[#This Row],[Category]])))</f>
        <v>Investment</v>
      </c>
      <c r="F427" s="11" t="s">
        <v>868</v>
      </c>
      <c r="G427" s="2" t="s">
        <v>18</v>
      </c>
      <c r="H427" s="15">
        <f>MONTH(tblClean[[#This Row],[Date]])</f>
        <v>6</v>
      </c>
      <c r="I427" s="15">
        <f>YEAR(tblClean[[#This Row],[Date]])</f>
        <v>2021</v>
      </c>
    </row>
    <row r="428" spans="1:9" x14ac:dyDescent="0.25">
      <c r="A428" s="6">
        <v>44353</v>
      </c>
      <c r="B428" s="1" t="s">
        <v>869</v>
      </c>
      <c r="C428" s="3" t="str">
        <f>TRIM(CLEAN(PROPER(tblClean[[#This Row],[Transaction Description]])))</f>
        <v>Wait It Quickly Produce Beat.</v>
      </c>
      <c r="D428" s="1" t="s">
        <v>38</v>
      </c>
      <c r="E428" s="3" t="str">
        <f>TRIM(CLEAN(PROPER(tblClean[[#This Row],[Category]])))</f>
        <v>Salary</v>
      </c>
      <c r="F428" s="10" t="s">
        <v>870</v>
      </c>
      <c r="G428" s="1" t="s">
        <v>8</v>
      </c>
      <c r="H428" s="15">
        <f>MONTH(tblClean[[#This Row],[Date]])</f>
        <v>6</v>
      </c>
      <c r="I428" s="15">
        <f>YEAR(tblClean[[#This Row],[Date]])</f>
        <v>2021</v>
      </c>
    </row>
    <row r="429" spans="1:9" x14ac:dyDescent="0.25">
      <c r="A429" s="6">
        <v>44353</v>
      </c>
      <c r="B429" s="1" t="s">
        <v>873</v>
      </c>
      <c r="C429" s="3" t="str">
        <f>TRIM(CLEAN(PROPER(tblClean[[#This Row],[Transaction Description]])))</f>
        <v>First Blood Accept Final.</v>
      </c>
      <c r="D429" s="1" t="s">
        <v>22</v>
      </c>
      <c r="E429" s="3" t="str">
        <f>TRIM(CLEAN(PROPER(tblClean[[#This Row],[Category]])))</f>
        <v>Shopping</v>
      </c>
      <c r="F429" s="10" t="s">
        <v>874</v>
      </c>
      <c r="G429" s="1" t="s">
        <v>8</v>
      </c>
      <c r="H429" s="15">
        <f>MONTH(tblClean[[#This Row],[Date]])</f>
        <v>6</v>
      </c>
      <c r="I429" s="15">
        <f>YEAR(tblClean[[#This Row],[Date]])</f>
        <v>2021</v>
      </c>
    </row>
    <row r="430" spans="1:9" x14ac:dyDescent="0.25">
      <c r="A430" s="7">
        <v>44353</v>
      </c>
      <c r="B430" s="2" t="s">
        <v>871</v>
      </c>
      <c r="C430" s="4" t="str">
        <f>TRIM(CLEAN(PROPER(tblClean[[#This Row],[Transaction Description]])))</f>
        <v>Require Bank Child.</v>
      </c>
      <c r="D430" s="2" t="s">
        <v>10</v>
      </c>
      <c r="E430" s="3" t="str">
        <f>TRIM(CLEAN(PROPER(tblClean[[#This Row],[Category]])))</f>
        <v>Utilities</v>
      </c>
      <c r="F430" s="11" t="s">
        <v>872</v>
      </c>
      <c r="G430" s="2" t="s">
        <v>8</v>
      </c>
      <c r="H430" s="15">
        <f>MONTH(tblClean[[#This Row],[Date]])</f>
        <v>6</v>
      </c>
      <c r="I430" s="15">
        <f>YEAR(tblClean[[#This Row],[Date]])</f>
        <v>2021</v>
      </c>
    </row>
    <row r="431" spans="1:9" x14ac:dyDescent="0.25">
      <c r="A431" s="7">
        <v>44356</v>
      </c>
      <c r="B431" s="2" t="s">
        <v>875</v>
      </c>
      <c r="C431" s="4" t="str">
        <f>TRIM(CLEAN(PROPER(tblClean[[#This Row],[Transaction Description]])))</f>
        <v>Bill Beautiful Issue.</v>
      </c>
      <c r="D431" s="2" t="s">
        <v>6</v>
      </c>
      <c r="E431" s="3" t="str">
        <f>TRIM(CLEAN(PROPER(tblClean[[#This Row],[Category]])))</f>
        <v>Food &amp; Drink</v>
      </c>
      <c r="F431" s="11" t="s">
        <v>876</v>
      </c>
      <c r="G431" s="2" t="s">
        <v>8</v>
      </c>
      <c r="H431" s="15">
        <f>MONTH(tblClean[[#This Row],[Date]])</f>
        <v>6</v>
      </c>
      <c r="I431" s="15">
        <f>YEAR(tblClean[[#This Row],[Date]])</f>
        <v>2021</v>
      </c>
    </row>
    <row r="432" spans="1:9" x14ac:dyDescent="0.25">
      <c r="A432" s="6">
        <v>44358</v>
      </c>
      <c r="B432" s="1" t="s">
        <v>877</v>
      </c>
      <c r="C432" s="3" t="str">
        <f>TRIM(CLEAN(PROPER(tblClean[[#This Row],[Transaction Description]])))</f>
        <v>Mention Billion Bed Never Others.</v>
      </c>
      <c r="D432" s="1" t="s">
        <v>13</v>
      </c>
      <c r="E432" s="3" t="str">
        <f>TRIM(CLEAN(PROPER(tblClean[[#This Row],[Category]])))</f>
        <v>Rent</v>
      </c>
      <c r="F432" s="10" t="s">
        <v>878</v>
      </c>
      <c r="G432" s="1" t="s">
        <v>8</v>
      </c>
      <c r="H432" s="15">
        <f>MONTH(tblClean[[#This Row],[Date]])</f>
        <v>6</v>
      </c>
      <c r="I432" s="15">
        <f>YEAR(tblClean[[#This Row],[Date]])</f>
        <v>2021</v>
      </c>
    </row>
    <row r="433" spans="1:9" x14ac:dyDescent="0.25">
      <c r="A433" s="7">
        <v>44358</v>
      </c>
      <c r="B433" s="2" t="s">
        <v>879</v>
      </c>
      <c r="C433" s="4" t="str">
        <f>TRIM(CLEAN(PROPER(tblClean[[#This Row],[Transaction Description]])))</f>
        <v>Activity Including Single Right.</v>
      </c>
      <c r="D433" s="2" t="s">
        <v>22</v>
      </c>
      <c r="E433" s="3" t="str">
        <f>TRIM(CLEAN(PROPER(tblClean[[#This Row],[Category]])))</f>
        <v>Shopping</v>
      </c>
      <c r="F433" s="11" t="s">
        <v>880</v>
      </c>
      <c r="G433" s="2" t="s">
        <v>8</v>
      </c>
      <c r="H433" s="15">
        <f>MONTH(tblClean[[#This Row],[Date]])</f>
        <v>6</v>
      </c>
      <c r="I433" s="15">
        <f>YEAR(tblClean[[#This Row],[Date]])</f>
        <v>2021</v>
      </c>
    </row>
    <row r="434" spans="1:9" x14ac:dyDescent="0.25">
      <c r="A434" s="6">
        <v>44361</v>
      </c>
      <c r="B434" s="1" t="s">
        <v>881</v>
      </c>
      <c r="C434" s="3" t="str">
        <f>TRIM(CLEAN(PROPER(tblClean[[#This Row],[Transaction Description]])))</f>
        <v>Occur College Herself.</v>
      </c>
      <c r="D434" s="1" t="s">
        <v>10</v>
      </c>
      <c r="E434" s="3" t="str">
        <f>TRIM(CLEAN(PROPER(tblClean[[#This Row],[Category]])))</f>
        <v>Utilities</v>
      </c>
      <c r="F434" s="10" t="s">
        <v>882</v>
      </c>
      <c r="G434" s="1" t="s">
        <v>8</v>
      </c>
      <c r="H434" s="15">
        <f>MONTH(tblClean[[#This Row],[Date]])</f>
        <v>6</v>
      </c>
      <c r="I434" s="15">
        <f>YEAR(tblClean[[#This Row],[Date]])</f>
        <v>2021</v>
      </c>
    </row>
    <row r="435" spans="1:9" x14ac:dyDescent="0.25">
      <c r="A435" s="7">
        <v>44362</v>
      </c>
      <c r="B435" s="2" t="s">
        <v>883</v>
      </c>
      <c r="C435" s="4" t="str">
        <f>TRIM(CLEAN(PROPER(tblClean[[#This Row],[Transaction Description]])))</f>
        <v>Feeling Manage As.</v>
      </c>
      <c r="D435" s="2" t="s">
        <v>10</v>
      </c>
      <c r="E435" s="3" t="str">
        <f>TRIM(CLEAN(PROPER(tblClean[[#This Row],[Category]])))</f>
        <v>Utilities</v>
      </c>
      <c r="F435" s="11" t="s">
        <v>884</v>
      </c>
      <c r="G435" s="2" t="s">
        <v>8</v>
      </c>
      <c r="H435" s="15">
        <f>MONTH(tblClean[[#This Row],[Date]])</f>
        <v>6</v>
      </c>
      <c r="I435" s="15">
        <f>YEAR(tblClean[[#This Row],[Date]])</f>
        <v>2021</v>
      </c>
    </row>
    <row r="436" spans="1:9" x14ac:dyDescent="0.25">
      <c r="A436" s="6">
        <v>44363</v>
      </c>
      <c r="B436" s="1" t="s">
        <v>885</v>
      </c>
      <c r="C436" s="3" t="str">
        <f>TRIM(CLEAN(PROPER(tblClean[[#This Row],[Transaction Description]])))</f>
        <v>Inside Machine Baby.</v>
      </c>
      <c r="D436" s="1" t="s">
        <v>22</v>
      </c>
      <c r="E436" s="3" t="str">
        <f>TRIM(CLEAN(PROPER(tblClean[[#This Row],[Category]])))</f>
        <v>Shopping</v>
      </c>
      <c r="F436" s="10" t="s">
        <v>886</v>
      </c>
      <c r="G436" s="1" t="s">
        <v>8</v>
      </c>
      <c r="H436" s="15">
        <f>MONTH(tblClean[[#This Row],[Date]])</f>
        <v>6</v>
      </c>
      <c r="I436" s="15">
        <f>YEAR(tblClean[[#This Row],[Date]])</f>
        <v>2021</v>
      </c>
    </row>
    <row r="437" spans="1:9" x14ac:dyDescent="0.25">
      <c r="A437" s="6">
        <v>44367</v>
      </c>
      <c r="B437" s="1" t="s">
        <v>889</v>
      </c>
      <c r="C437" s="3" t="str">
        <f>TRIM(CLEAN(PROPER(tblClean[[#This Row],[Transaction Description]])))</f>
        <v>Career According.</v>
      </c>
      <c r="D437" s="1" t="s">
        <v>35</v>
      </c>
      <c r="E437" s="3" t="str">
        <f>TRIM(CLEAN(PROPER(tblClean[[#This Row],[Category]])))</f>
        <v>Health &amp; Fitness</v>
      </c>
      <c r="F437" s="10" t="s">
        <v>890</v>
      </c>
      <c r="G437" s="1" t="s">
        <v>8</v>
      </c>
      <c r="H437" s="15">
        <f>MONTH(tblClean[[#This Row],[Date]])</f>
        <v>6</v>
      </c>
      <c r="I437" s="15">
        <f>YEAR(tblClean[[#This Row],[Date]])</f>
        <v>2021</v>
      </c>
    </row>
    <row r="438" spans="1:9" x14ac:dyDescent="0.25">
      <c r="A438" s="7">
        <v>44367</v>
      </c>
      <c r="B438" s="2" t="s">
        <v>887</v>
      </c>
      <c r="C438" s="4" t="str">
        <f>TRIM(CLEAN(PROPER(tblClean[[#This Row],[Transaction Description]])))</f>
        <v>Result Many Pattern.</v>
      </c>
      <c r="D438" s="2" t="s">
        <v>13</v>
      </c>
      <c r="E438" s="3" t="str">
        <f>TRIM(CLEAN(PROPER(tblClean[[#This Row],[Category]])))</f>
        <v>Rent</v>
      </c>
      <c r="F438" s="11" t="s">
        <v>888</v>
      </c>
      <c r="G438" s="2" t="s">
        <v>8</v>
      </c>
      <c r="H438" s="15">
        <f>MONTH(tblClean[[#This Row],[Date]])</f>
        <v>6</v>
      </c>
      <c r="I438" s="15">
        <f>YEAR(tblClean[[#This Row],[Date]])</f>
        <v>2021</v>
      </c>
    </row>
    <row r="439" spans="1:9" x14ac:dyDescent="0.25">
      <c r="A439" s="7">
        <v>44369</v>
      </c>
      <c r="B439" s="2" t="s">
        <v>891</v>
      </c>
      <c r="C439" s="4" t="str">
        <f>TRIM(CLEAN(PROPER(tblClean[[#This Row],[Transaction Description]])))</f>
        <v>Success Here Television Key.</v>
      </c>
      <c r="D439" s="2" t="s">
        <v>13</v>
      </c>
      <c r="E439" s="3" t="str">
        <f>TRIM(CLEAN(PROPER(tblClean[[#This Row],[Category]])))</f>
        <v>Rent</v>
      </c>
      <c r="F439" s="11" t="s">
        <v>892</v>
      </c>
      <c r="G439" s="2" t="s">
        <v>8</v>
      </c>
      <c r="H439" s="15">
        <f>MONTH(tblClean[[#This Row],[Date]])</f>
        <v>6</v>
      </c>
      <c r="I439" s="15">
        <f>YEAR(tblClean[[#This Row],[Date]])</f>
        <v>2021</v>
      </c>
    </row>
    <row r="440" spans="1:9" x14ac:dyDescent="0.25">
      <c r="A440" s="6">
        <v>44370</v>
      </c>
      <c r="B440" s="1" t="s">
        <v>893</v>
      </c>
      <c r="C440" s="3" t="str">
        <f>TRIM(CLEAN(PROPER(tblClean[[#This Row],[Transaction Description]])))</f>
        <v>Carry Fly Water Cut Fire.</v>
      </c>
      <c r="D440" s="1" t="s">
        <v>35</v>
      </c>
      <c r="E440" s="3" t="str">
        <f>TRIM(CLEAN(PROPER(tblClean[[#This Row],[Category]])))</f>
        <v>Health &amp; Fitness</v>
      </c>
      <c r="F440" s="10" t="s">
        <v>894</v>
      </c>
      <c r="G440" s="1" t="s">
        <v>8</v>
      </c>
      <c r="H440" s="15">
        <f>MONTH(tblClean[[#This Row],[Date]])</f>
        <v>6</v>
      </c>
      <c r="I440" s="15">
        <f>YEAR(tblClean[[#This Row],[Date]])</f>
        <v>2021</v>
      </c>
    </row>
    <row r="441" spans="1:9" x14ac:dyDescent="0.25">
      <c r="A441" s="7">
        <v>44371</v>
      </c>
      <c r="B441" s="2" t="s">
        <v>895</v>
      </c>
      <c r="C441" s="4" t="str">
        <f>TRIM(CLEAN(PROPER(tblClean[[#This Row],[Transaction Description]])))</f>
        <v>Fact Reason Make Office.</v>
      </c>
      <c r="D441" s="2" t="s">
        <v>30</v>
      </c>
      <c r="E441" s="3" t="str">
        <f>TRIM(CLEAN(PROPER(tblClean[[#This Row],[Category]])))</f>
        <v>Entertainment</v>
      </c>
      <c r="F441" s="11" t="s">
        <v>896</v>
      </c>
      <c r="G441" s="2" t="s">
        <v>8</v>
      </c>
      <c r="H441" s="15">
        <f>MONTH(tblClean[[#This Row],[Date]])</f>
        <v>6</v>
      </c>
      <c r="I441" s="15">
        <f>YEAR(tblClean[[#This Row],[Date]])</f>
        <v>2021</v>
      </c>
    </row>
    <row r="442" spans="1:9" x14ac:dyDescent="0.25">
      <c r="A442" s="6">
        <v>44373</v>
      </c>
      <c r="B442" s="1" t="s">
        <v>897</v>
      </c>
      <c r="C442" s="3" t="str">
        <f>TRIM(CLEAN(PROPER(tblClean[[#This Row],[Transaction Description]])))</f>
        <v>Heavy Staff Hotel Box.</v>
      </c>
      <c r="D442" s="1" t="s">
        <v>30</v>
      </c>
      <c r="E442" s="3" t="str">
        <f>TRIM(CLEAN(PROPER(tblClean[[#This Row],[Category]])))</f>
        <v>Entertainment</v>
      </c>
      <c r="F442" s="10" t="s">
        <v>898</v>
      </c>
      <c r="G442" s="1" t="s">
        <v>8</v>
      </c>
      <c r="H442" s="15">
        <f>MONTH(tblClean[[#This Row],[Date]])</f>
        <v>6</v>
      </c>
      <c r="I442" s="15">
        <f>YEAR(tblClean[[#This Row],[Date]])</f>
        <v>2021</v>
      </c>
    </row>
    <row r="443" spans="1:9" x14ac:dyDescent="0.25">
      <c r="A443" s="7">
        <v>44374</v>
      </c>
      <c r="B443" s="2" t="s">
        <v>899</v>
      </c>
      <c r="C443" s="4" t="str">
        <f>TRIM(CLEAN(PROPER(tblClean[[#This Row],[Transaction Description]])))</f>
        <v>Or Nation Race.</v>
      </c>
      <c r="D443" s="2" t="s">
        <v>16</v>
      </c>
      <c r="E443" s="3" t="str">
        <f>TRIM(CLEAN(PROPER(tblClean[[#This Row],[Category]])))</f>
        <v>Investment</v>
      </c>
      <c r="F443" s="11" t="s">
        <v>900</v>
      </c>
      <c r="G443" s="2" t="s">
        <v>18</v>
      </c>
      <c r="H443" s="15">
        <f>MONTH(tblClean[[#This Row],[Date]])</f>
        <v>6</v>
      </c>
      <c r="I443" s="15">
        <f>YEAR(tblClean[[#This Row],[Date]])</f>
        <v>2021</v>
      </c>
    </row>
    <row r="444" spans="1:9" x14ac:dyDescent="0.25">
      <c r="A444" s="7">
        <v>44375</v>
      </c>
      <c r="B444" s="2" t="s">
        <v>903</v>
      </c>
      <c r="C444" s="4" t="str">
        <f>TRIM(CLEAN(PROPER(tblClean[[#This Row],[Transaction Description]])))</f>
        <v>Something Story Attorney Summer.</v>
      </c>
      <c r="D444" s="2" t="s">
        <v>6</v>
      </c>
      <c r="E444" s="3" t="str">
        <f>TRIM(CLEAN(PROPER(tblClean[[#This Row],[Category]])))</f>
        <v>Food &amp; Drink</v>
      </c>
      <c r="F444" s="11" t="s">
        <v>904</v>
      </c>
      <c r="G444" s="2" t="s">
        <v>8</v>
      </c>
      <c r="H444" s="15">
        <f>MONTH(tblClean[[#This Row],[Date]])</f>
        <v>6</v>
      </c>
      <c r="I444" s="15">
        <f>YEAR(tblClean[[#This Row],[Date]])</f>
        <v>2021</v>
      </c>
    </row>
    <row r="445" spans="1:9" x14ac:dyDescent="0.25">
      <c r="A445" s="7">
        <v>44375</v>
      </c>
      <c r="B445" s="2" t="s">
        <v>907</v>
      </c>
      <c r="C445" s="4" t="str">
        <f>TRIM(CLEAN(PROPER(tblClean[[#This Row],[Transaction Description]])))</f>
        <v>Available Wrong Look Husband.</v>
      </c>
      <c r="D445" s="2" t="s">
        <v>16</v>
      </c>
      <c r="E445" s="3" t="str">
        <f>TRIM(CLEAN(PROPER(tblClean[[#This Row],[Category]])))</f>
        <v>Investment</v>
      </c>
      <c r="F445" s="11" t="s">
        <v>908</v>
      </c>
      <c r="G445" s="2" t="s">
        <v>18</v>
      </c>
      <c r="H445" s="15">
        <f>MONTH(tblClean[[#This Row],[Date]])</f>
        <v>6</v>
      </c>
      <c r="I445" s="15">
        <f>YEAR(tblClean[[#This Row],[Date]])</f>
        <v>2021</v>
      </c>
    </row>
    <row r="446" spans="1:9" x14ac:dyDescent="0.25">
      <c r="A446" s="6">
        <v>44375</v>
      </c>
      <c r="B446" s="1" t="s">
        <v>901</v>
      </c>
      <c r="C446" s="3" t="str">
        <f>TRIM(CLEAN(PROPER(tblClean[[#This Row],[Transaction Description]])))</f>
        <v>Well Left.</v>
      </c>
      <c r="D446" s="1" t="s">
        <v>13</v>
      </c>
      <c r="E446" s="3" t="str">
        <f>TRIM(CLEAN(PROPER(tblClean[[#This Row],[Category]])))</f>
        <v>Rent</v>
      </c>
      <c r="F446" s="10" t="s">
        <v>902</v>
      </c>
      <c r="G446" s="1" t="s">
        <v>8</v>
      </c>
      <c r="H446" s="15">
        <f>MONTH(tblClean[[#This Row],[Date]])</f>
        <v>6</v>
      </c>
      <c r="I446" s="15">
        <f>YEAR(tblClean[[#This Row],[Date]])</f>
        <v>2021</v>
      </c>
    </row>
    <row r="447" spans="1:9" x14ac:dyDescent="0.25">
      <c r="A447" s="6">
        <v>44375</v>
      </c>
      <c r="B447" s="1" t="s">
        <v>905</v>
      </c>
      <c r="C447" s="3" t="str">
        <f>TRIM(CLEAN(PROPER(tblClean[[#This Row],[Transaction Description]])))</f>
        <v>Cause Field Education Child.</v>
      </c>
      <c r="D447" s="1" t="s">
        <v>10</v>
      </c>
      <c r="E447" s="3" t="str">
        <f>TRIM(CLEAN(PROPER(tblClean[[#This Row],[Category]])))</f>
        <v>Utilities</v>
      </c>
      <c r="F447" s="10" t="s">
        <v>906</v>
      </c>
      <c r="G447" s="1" t="s">
        <v>8</v>
      </c>
      <c r="H447" s="15">
        <f>MONTH(tblClean[[#This Row],[Date]])</f>
        <v>6</v>
      </c>
      <c r="I447" s="15">
        <f>YEAR(tblClean[[#This Row],[Date]])</f>
        <v>2021</v>
      </c>
    </row>
    <row r="448" spans="1:9" x14ac:dyDescent="0.25">
      <c r="A448" s="6">
        <v>44376</v>
      </c>
      <c r="B448" s="1" t="s">
        <v>909</v>
      </c>
      <c r="C448" s="3" t="str">
        <f>TRIM(CLEAN(PROPER(tblClean[[#This Row],[Transaction Description]])))</f>
        <v>Myself So Growth Time.</v>
      </c>
      <c r="D448" s="1" t="s">
        <v>6</v>
      </c>
      <c r="E448" s="3" t="str">
        <f>TRIM(CLEAN(PROPER(tblClean[[#This Row],[Category]])))</f>
        <v>Food &amp; Drink</v>
      </c>
      <c r="F448" s="10" t="s">
        <v>910</v>
      </c>
      <c r="G448" s="1" t="s">
        <v>8</v>
      </c>
      <c r="H448" s="15">
        <f>MONTH(tblClean[[#This Row],[Date]])</f>
        <v>6</v>
      </c>
      <c r="I448" s="15">
        <f>YEAR(tblClean[[#This Row],[Date]])</f>
        <v>2021</v>
      </c>
    </row>
    <row r="449" spans="1:9" x14ac:dyDescent="0.25">
      <c r="A449" s="7">
        <v>44381</v>
      </c>
      <c r="B449" s="2" t="s">
        <v>911</v>
      </c>
      <c r="C449" s="4" t="str">
        <f>TRIM(CLEAN(PROPER(tblClean[[#This Row],[Transaction Description]])))</f>
        <v>Point Be Shoulder Price Great.</v>
      </c>
      <c r="D449" s="2" t="s">
        <v>30</v>
      </c>
      <c r="E449" s="3" t="str">
        <f>TRIM(CLEAN(PROPER(tblClean[[#This Row],[Category]])))</f>
        <v>Entertainment</v>
      </c>
      <c r="F449" s="11" t="s">
        <v>912</v>
      </c>
      <c r="G449" s="2" t="s">
        <v>8</v>
      </c>
      <c r="H449" s="15">
        <f>MONTH(tblClean[[#This Row],[Date]])</f>
        <v>7</v>
      </c>
      <c r="I449" s="15">
        <f>YEAR(tblClean[[#This Row],[Date]])</f>
        <v>2021</v>
      </c>
    </row>
    <row r="450" spans="1:9" x14ac:dyDescent="0.25">
      <c r="A450" s="6">
        <v>44381</v>
      </c>
      <c r="B450" s="1" t="s">
        <v>913</v>
      </c>
      <c r="C450" s="3" t="str">
        <f>TRIM(CLEAN(PROPER(tblClean[[#This Row],[Transaction Description]])))</f>
        <v>Worker Quality Hundred Sell Whole.</v>
      </c>
      <c r="D450" s="1" t="s">
        <v>38</v>
      </c>
      <c r="E450" s="3" t="str">
        <f>TRIM(CLEAN(PROPER(tblClean[[#This Row],[Category]])))</f>
        <v>Salary</v>
      </c>
      <c r="F450" s="10" t="s">
        <v>914</v>
      </c>
      <c r="G450" s="1" t="s">
        <v>8</v>
      </c>
      <c r="H450" s="15">
        <f>MONTH(tblClean[[#This Row],[Date]])</f>
        <v>7</v>
      </c>
      <c r="I450" s="15">
        <f>YEAR(tblClean[[#This Row],[Date]])</f>
        <v>2021</v>
      </c>
    </row>
    <row r="451" spans="1:9" x14ac:dyDescent="0.25">
      <c r="A451" s="7">
        <v>44381</v>
      </c>
      <c r="B451" s="2" t="s">
        <v>915</v>
      </c>
      <c r="C451" s="4" t="str">
        <f>TRIM(CLEAN(PROPER(tblClean[[#This Row],[Transaction Description]])))</f>
        <v>Action Else.</v>
      </c>
      <c r="D451" s="2" t="s">
        <v>38</v>
      </c>
      <c r="E451" s="3" t="str">
        <f>TRIM(CLEAN(PROPER(tblClean[[#This Row],[Category]])))</f>
        <v>Salary</v>
      </c>
      <c r="F451" s="11" t="s">
        <v>916</v>
      </c>
      <c r="G451" s="2" t="s">
        <v>8</v>
      </c>
      <c r="H451" s="15">
        <f>MONTH(tblClean[[#This Row],[Date]])</f>
        <v>7</v>
      </c>
      <c r="I451" s="15">
        <f>YEAR(tblClean[[#This Row],[Date]])</f>
        <v>2021</v>
      </c>
    </row>
    <row r="452" spans="1:9" x14ac:dyDescent="0.25">
      <c r="A452" s="6">
        <v>44383</v>
      </c>
      <c r="B452" s="1" t="s">
        <v>917</v>
      </c>
      <c r="C452" s="3" t="str">
        <f>TRIM(CLEAN(PROPER(tblClean[[#This Row],[Transaction Description]])))</f>
        <v>Newspaper Reach Determine Hear Leg.</v>
      </c>
      <c r="D452" s="1" t="s">
        <v>27</v>
      </c>
      <c r="E452" s="3" t="str">
        <f>TRIM(CLEAN(PROPER(tblClean[[#This Row],[Category]])))</f>
        <v>Other</v>
      </c>
      <c r="F452" s="10" t="s">
        <v>918</v>
      </c>
      <c r="G452" s="1" t="s">
        <v>18</v>
      </c>
      <c r="H452" s="15">
        <f>MONTH(tblClean[[#This Row],[Date]])</f>
        <v>7</v>
      </c>
      <c r="I452" s="15">
        <f>YEAR(tblClean[[#This Row],[Date]])</f>
        <v>2021</v>
      </c>
    </row>
    <row r="453" spans="1:9" x14ac:dyDescent="0.25">
      <c r="A453" s="7">
        <v>44384</v>
      </c>
      <c r="B453" s="2" t="s">
        <v>919</v>
      </c>
      <c r="C453" s="4" t="str">
        <f>TRIM(CLEAN(PROPER(tblClean[[#This Row],[Transaction Description]])))</f>
        <v>General Agency Bit.</v>
      </c>
      <c r="D453" s="2" t="s">
        <v>22</v>
      </c>
      <c r="E453" s="3" t="str">
        <f>TRIM(CLEAN(PROPER(tblClean[[#This Row],[Category]])))</f>
        <v>Shopping</v>
      </c>
      <c r="F453" s="11" t="s">
        <v>920</v>
      </c>
      <c r="G453" s="2" t="s">
        <v>8</v>
      </c>
      <c r="H453" s="15">
        <f>MONTH(tblClean[[#This Row],[Date]])</f>
        <v>7</v>
      </c>
      <c r="I453" s="15">
        <f>YEAR(tblClean[[#This Row],[Date]])</f>
        <v>2021</v>
      </c>
    </row>
    <row r="454" spans="1:9" x14ac:dyDescent="0.25">
      <c r="A454" s="6">
        <v>44386</v>
      </c>
      <c r="B454" s="1" t="s">
        <v>921</v>
      </c>
      <c r="C454" s="3" t="str">
        <f>TRIM(CLEAN(PROPER(tblClean[[#This Row],[Transaction Description]])))</f>
        <v>Break Wait.</v>
      </c>
      <c r="D454" s="1" t="s">
        <v>10</v>
      </c>
      <c r="E454" s="3" t="str">
        <f>TRIM(CLEAN(PROPER(tblClean[[#This Row],[Category]])))</f>
        <v>Utilities</v>
      </c>
      <c r="F454" s="10" t="s">
        <v>922</v>
      </c>
      <c r="G454" s="1" t="s">
        <v>8</v>
      </c>
      <c r="H454" s="15">
        <f>MONTH(tblClean[[#This Row],[Date]])</f>
        <v>7</v>
      </c>
      <c r="I454" s="15">
        <f>YEAR(tblClean[[#This Row],[Date]])</f>
        <v>2021</v>
      </c>
    </row>
    <row r="455" spans="1:9" x14ac:dyDescent="0.25">
      <c r="A455" s="7">
        <v>44386</v>
      </c>
      <c r="B455" s="2" t="s">
        <v>923</v>
      </c>
      <c r="C455" s="4" t="str">
        <f>TRIM(CLEAN(PROPER(tblClean[[#This Row],[Transaction Description]])))</f>
        <v>Find Lay Deal Lot.</v>
      </c>
      <c r="D455" s="2" t="s">
        <v>10</v>
      </c>
      <c r="E455" s="3" t="str">
        <f>TRIM(CLEAN(PROPER(tblClean[[#This Row],[Category]])))</f>
        <v>Utilities</v>
      </c>
      <c r="F455" s="11" t="s">
        <v>924</v>
      </c>
      <c r="G455" s="2" t="s">
        <v>8</v>
      </c>
      <c r="H455" s="15">
        <f>MONTH(tblClean[[#This Row],[Date]])</f>
        <v>7</v>
      </c>
      <c r="I455" s="15">
        <f>YEAR(tblClean[[#This Row],[Date]])</f>
        <v>2021</v>
      </c>
    </row>
    <row r="456" spans="1:9" x14ac:dyDescent="0.25">
      <c r="A456" s="6">
        <v>44387</v>
      </c>
      <c r="B456" s="1" t="s">
        <v>925</v>
      </c>
      <c r="C456" s="3" t="str">
        <f>TRIM(CLEAN(PROPER(tblClean[[#This Row],[Transaction Description]])))</f>
        <v>Just Recent.</v>
      </c>
      <c r="D456" s="1" t="s">
        <v>27</v>
      </c>
      <c r="E456" s="3" t="str">
        <f>TRIM(CLEAN(PROPER(tblClean[[#This Row],[Category]])))</f>
        <v>Other</v>
      </c>
      <c r="F456" s="10" t="s">
        <v>926</v>
      </c>
      <c r="G456" s="1" t="s">
        <v>18</v>
      </c>
      <c r="H456" s="15">
        <f>MONTH(tblClean[[#This Row],[Date]])</f>
        <v>7</v>
      </c>
      <c r="I456" s="15">
        <f>YEAR(tblClean[[#This Row],[Date]])</f>
        <v>2021</v>
      </c>
    </row>
    <row r="457" spans="1:9" x14ac:dyDescent="0.25">
      <c r="A457" s="7">
        <v>44387</v>
      </c>
      <c r="B457" s="2" t="s">
        <v>927</v>
      </c>
      <c r="C457" s="4" t="str">
        <f>TRIM(CLEAN(PROPER(tblClean[[#This Row],[Transaction Description]])))</f>
        <v>Feel Special.</v>
      </c>
      <c r="D457" s="2" t="s">
        <v>13</v>
      </c>
      <c r="E457" s="3" t="str">
        <f>TRIM(CLEAN(PROPER(tblClean[[#This Row],[Category]])))</f>
        <v>Rent</v>
      </c>
      <c r="F457" s="11" t="s">
        <v>928</v>
      </c>
      <c r="G457" s="2" t="s">
        <v>8</v>
      </c>
      <c r="H457" s="15">
        <f>MONTH(tblClean[[#This Row],[Date]])</f>
        <v>7</v>
      </c>
      <c r="I457" s="15">
        <f>YEAR(tblClean[[#This Row],[Date]])</f>
        <v>2021</v>
      </c>
    </row>
    <row r="458" spans="1:9" x14ac:dyDescent="0.25">
      <c r="A458" s="6">
        <v>44388</v>
      </c>
      <c r="B458" s="1" t="s">
        <v>929</v>
      </c>
      <c r="C458" s="3" t="str">
        <f>TRIM(CLEAN(PROPER(tblClean[[#This Row],[Transaction Description]])))</f>
        <v>Support Possible.</v>
      </c>
      <c r="D458" s="1" t="s">
        <v>13</v>
      </c>
      <c r="E458" s="3" t="str">
        <f>TRIM(CLEAN(PROPER(tblClean[[#This Row],[Category]])))</f>
        <v>Rent</v>
      </c>
      <c r="F458" s="10" t="s">
        <v>930</v>
      </c>
      <c r="G458" s="1" t="s">
        <v>8</v>
      </c>
      <c r="H458" s="15">
        <f>MONTH(tblClean[[#This Row],[Date]])</f>
        <v>7</v>
      </c>
      <c r="I458" s="15">
        <f>YEAR(tblClean[[#This Row],[Date]])</f>
        <v>2021</v>
      </c>
    </row>
    <row r="459" spans="1:9" x14ac:dyDescent="0.25">
      <c r="A459" s="6">
        <v>44388</v>
      </c>
      <c r="B459" s="1" t="s">
        <v>933</v>
      </c>
      <c r="C459" s="3" t="str">
        <f>TRIM(CLEAN(PROPER(tblClean[[#This Row],[Transaction Description]])))</f>
        <v>Discussion If Continue Policy.</v>
      </c>
      <c r="D459" s="1" t="s">
        <v>22</v>
      </c>
      <c r="E459" s="3" t="str">
        <f>TRIM(CLEAN(PROPER(tblClean[[#This Row],[Category]])))</f>
        <v>Shopping</v>
      </c>
      <c r="F459" s="10" t="s">
        <v>934</v>
      </c>
      <c r="G459" s="1" t="s">
        <v>8</v>
      </c>
      <c r="H459" s="15">
        <f>MONTH(tblClean[[#This Row],[Date]])</f>
        <v>7</v>
      </c>
      <c r="I459" s="15">
        <f>YEAR(tblClean[[#This Row],[Date]])</f>
        <v>2021</v>
      </c>
    </row>
    <row r="460" spans="1:9" x14ac:dyDescent="0.25">
      <c r="A460" s="7">
        <v>44388</v>
      </c>
      <c r="B460" s="2" t="s">
        <v>931</v>
      </c>
      <c r="C460" s="4" t="str">
        <f>TRIM(CLEAN(PROPER(tblClean[[#This Row],[Transaction Description]])))</f>
        <v>Might Necessary Former.</v>
      </c>
      <c r="D460" s="2" t="s">
        <v>53</v>
      </c>
      <c r="E460" s="3" t="str">
        <f>TRIM(CLEAN(PROPER(tblClean[[#This Row],[Category]])))</f>
        <v>Travel</v>
      </c>
      <c r="F460" s="11" t="s">
        <v>932</v>
      </c>
      <c r="G460" s="2" t="s">
        <v>8</v>
      </c>
      <c r="H460" s="15">
        <f>MONTH(tblClean[[#This Row],[Date]])</f>
        <v>7</v>
      </c>
      <c r="I460" s="15">
        <f>YEAR(tblClean[[#This Row],[Date]])</f>
        <v>2021</v>
      </c>
    </row>
    <row r="461" spans="1:9" x14ac:dyDescent="0.25">
      <c r="A461" s="7">
        <v>44389</v>
      </c>
      <c r="B461" s="2" t="s">
        <v>935</v>
      </c>
      <c r="C461" s="4" t="str">
        <f>TRIM(CLEAN(PROPER(tblClean[[#This Row],[Transaction Description]])))</f>
        <v>Ahead Pass Culture Or.</v>
      </c>
      <c r="D461" s="2" t="s">
        <v>38</v>
      </c>
      <c r="E461" s="3" t="str">
        <f>TRIM(CLEAN(PROPER(tblClean[[#This Row],[Category]])))</f>
        <v>Salary</v>
      </c>
      <c r="F461" s="11" t="s">
        <v>936</v>
      </c>
      <c r="G461" s="2" t="s">
        <v>8</v>
      </c>
      <c r="H461" s="15">
        <f>MONTH(tblClean[[#This Row],[Date]])</f>
        <v>7</v>
      </c>
      <c r="I461" s="15">
        <f>YEAR(tblClean[[#This Row],[Date]])</f>
        <v>2021</v>
      </c>
    </row>
    <row r="462" spans="1:9" x14ac:dyDescent="0.25">
      <c r="A462" s="6">
        <v>44390</v>
      </c>
      <c r="B462" s="1" t="s">
        <v>937</v>
      </c>
      <c r="C462" s="3" t="str">
        <f>TRIM(CLEAN(PROPER(tblClean[[#This Row],[Transaction Description]])))</f>
        <v>Relate Day.</v>
      </c>
      <c r="D462" s="1" t="s">
        <v>22</v>
      </c>
      <c r="E462" s="3" t="str">
        <f>TRIM(CLEAN(PROPER(tblClean[[#This Row],[Category]])))</f>
        <v>Shopping</v>
      </c>
      <c r="F462" s="10" t="s">
        <v>938</v>
      </c>
      <c r="G462" s="1" t="s">
        <v>8</v>
      </c>
      <c r="H462" s="15">
        <f>MONTH(tblClean[[#This Row],[Date]])</f>
        <v>7</v>
      </c>
      <c r="I462" s="15">
        <f>YEAR(tblClean[[#This Row],[Date]])</f>
        <v>2021</v>
      </c>
    </row>
    <row r="463" spans="1:9" x14ac:dyDescent="0.25">
      <c r="A463" s="7">
        <v>44391</v>
      </c>
      <c r="B463" s="2" t="s">
        <v>939</v>
      </c>
      <c r="C463" s="4" t="str">
        <f>TRIM(CLEAN(PROPER(tblClean[[#This Row],[Transaction Description]])))</f>
        <v>Big The Cost For Leader.</v>
      </c>
      <c r="D463" s="2" t="s">
        <v>30</v>
      </c>
      <c r="E463" s="3" t="str">
        <f>TRIM(CLEAN(PROPER(tblClean[[#This Row],[Category]])))</f>
        <v>Entertainment</v>
      </c>
      <c r="F463" s="11" t="s">
        <v>940</v>
      </c>
      <c r="G463" s="2" t="s">
        <v>8</v>
      </c>
      <c r="H463" s="15">
        <f>MONTH(tblClean[[#This Row],[Date]])</f>
        <v>7</v>
      </c>
      <c r="I463" s="15">
        <f>YEAR(tblClean[[#This Row],[Date]])</f>
        <v>2021</v>
      </c>
    </row>
    <row r="464" spans="1:9" x14ac:dyDescent="0.25">
      <c r="A464" s="6">
        <v>44392</v>
      </c>
      <c r="B464" s="1" t="s">
        <v>941</v>
      </c>
      <c r="C464" s="3" t="str">
        <f>TRIM(CLEAN(PROPER(tblClean[[#This Row],[Transaction Description]])))</f>
        <v>Month Police Others Particularly.</v>
      </c>
      <c r="D464" s="1" t="s">
        <v>16</v>
      </c>
      <c r="E464" s="3" t="str">
        <f>TRIM(CLEAN(PROPER(tblClean[[#This Row],[Category]])))</f>
        <v>Investment</v>
      </c>
      <c r="F464" s="10" t="s">
        <v>942</v>
      </c>
      <c r="G464" s="1" t="s">
        <v>18</v>
      </c>
      <c r="H464" s="15">
        <f>MONTH(tblClean[[#This Row],[Date]])</f>
        <v>7</v>
      </c>
      <c r="I464" s="15">
        <f>YEAR(tblClean[[#This Row],[Date]])</f>
        <v>2021</v>
      </c>
    </row>
    <row r="465" spans="1:9" x14ac:dyDescent="0.25">
      <c r="A465" s="7">
        <v>44396</v>
      </c>
      <c r="B465" s="2" t="s">
        <v>943</v>
      </c>
      <c r="C465" s="4" t="str">
        <f>TRIM(CLEAN(PROPER(tblClean[[#This Row],[Transaction Description]])))</f>
        <v>Girl Suddenly.</v>
      </c>
      <c r="D465" s="2" t="s">
        <v>13</v>
      </c>
      <c r="E465" s="3" t="str">
        <f>TRIM(CLEAN(PROPER(tblClean[[#This Row],[Category]])))</f>
        <v>Rent</v>
      </c>
      <c r="F465" s="11" t="s">
        <v>944</v>
      </c>
      <c r="G465" s="2" t="s">
        <v>8</v>
      </c>
      <c r="H465" s="15">
        <f>MONTH(tblClean[[#This Row],[Date]])</f>
        <v>7</v>
      </c>
      <c r="I465" s="15">
        <f>YEAR(tblClean[[#This Row],[Date]])</f>
        <v>2021</v>
      </c>
    </row>
    <row r="466" spans="1:9" x14ac:dyDescent="0.25">
      <c r="A466" s="6">
        <v>44396</v>
      </c>
      <c r="B466" s="1" t="s">
        <v>945</v>
      </c>
      <c r="C466" s="3" t="str">
        <f>TRIM(CLEAN(PROPER(tblClean[[#This Row],[Transaction Description]])))</f>
        <v>Try Opportunity Public.</v>
      </c>
      <c r="D466" s="1" t="s">
        <v>10</v>
      </c>
      <c r="E466" s="3" t="str">
        <f>TRIM(CLEAN(PROPER(tblClean[[#This Row],[Category]])))</f>
        <v>Utilities</v>
      </c>
      <c r="F466" s="10" t="s">
        <v>946</v>
      </c>
      <c r="G466" s="1" t="s">
        <v>8</v>
      </c>
      <c r="H466" s="15">
        <f>MONTH(tblClean[[#This Row],[Date]])</f>
        <v>7</v>
      </c>
      <c r="I466" s="15">
        <f>YEAR(tblClean[[#This Row],[Date]])</f>
        <v>2021</v>
      </c>
    </row>
    <row r="467" spans="1:9" x14ac:dyDescent="0.25">
      <c r="A467" s="6">
        <v>44400</v>
      </c>
      <c r="B467" s="1" t="s">
        <v>949</v>
      </c>
      <c r="C467" s="3" t="str">
        <f>TRIM(CLEAN(PROPER(tblClean[[#This Row],[Transaction Description]])))</f>
        <v>Home Others Offer Institution Main.</v>
      </c>
      <c r="D467" s="1" t="s">
        <v>27</v>
      </c>
      <c r="E467" s="3" t="str">
        <f>TRIM(CLEAN(PROPER(tblClean[[#This Row],[Category]])))</f>
        <v>Other</v>
      </c>
      <c r="F467" s="10" t="s">
        <v>950</v>
      </c>
      <c r="G467" s="1" t="s">
        <v>18</v>
      </c>
      <c r="H467" s="15">
        <f>MONTH(tblClean[[#This Row],[Date]])</f>
        <v>7</v>
      </c>
      <c r="I467" s="15">
        <f>YEAR(tblClean[[#This Row],[Date]])</f>
        <v>2021</v>
      </c>
    </row>
    <row r="468" spans="1:9" x14ac:dyDescent="0.25">
      <c r="A468" s="7">
        <v>44400</v>
      </c>
      <c r="B468" s="2" t="s">
        <v>947</v>
      </c>
      <c r="C468" s="4" t="str">
        <f>TRIM(CLEAN(PROPER(tblClean[[#This Row],[Transaction Description]])))</f>
        <v>Draw Bring Health.</v>
      </c>
      <c r="D468" s="2" t="s">
        <v>38</v>
      </c>
      <c r="E468" s="3" t="str">
        <f>TRIM(CLEAN(PROPER(tblClean[[#This Row],[Category]])))</f>
        <v>Salary</v>
      </c>
      <c r="F468" s="11" t="s">
        <v>948</v>
      </c>
      <c r="G468" s="2" t="s">
        <v>8</v>
      </c>
      <c r="H468" s="15">
        <f>MONTH(tblClean[[#This Row],[Date]])</f>
        <v>7</v>
      </c>
      <c r="I468" s="15">
        <f>YEAR(tblClean[[#This Row],[Date]])</f>
        <v>2021</v>
      </c>
    </row>
    <row r="469" spans="1:9" x14ac:dyDescent="0.25">
      <c r="A469" s="7">
        <v>44401</v>
      </c>
      <c r="B469" s="2" t="s">
        <v>951</v>
      </c>
      <c r="C469" s="4" t="str">
        <f>TRIM(CLEAN(PROPER(tblClean[[#This Row],[Transaction Description]])))</f>
        <v>Never Majority Cell.</v>
      </c>
      <c r="D469" s="2" t="s">
        <v>13</v>
      </c>
      <c r="E469" s="3" t="str">
        <f>TRIM(CLEAN(PROPER(tblClean[[#This Row],[Category]])))</f>
        <v>Rent</v>
      </c>
      <c r="F469" s="11" t="s">
        <v>952</v>
      </c>
      <c r="G469" s="2" t="s">
        <v>8</v>
      </c>
      <c r="H469" s="15">
        <f>MONTH(tblClean[[#This Row],[Date]])</f>
        <v>7</v>
      </c>
      <c r="I469" s="15">
        <f>YEAR(tblClean[[#This Row],[Date]])</f>
        <v>2021</v>
      </c>
    </row>
    <row r="470" spans="1:9" x14ac:dyDescent="0.25">
      <c r="A470" s="6">
        <v>44405</v>
      </c>
      <c r="B470" s="1" t="s">
        <v>953</v>
      </c>
      <c r="C470" s="3" t="str">
        <f>TRIM(CLEAN(PROPER(tblClean[[#This Row],[Transaction Description]])))</f>
        <v>People Tend Weight Machine.</v>
      </c>
      <c r="D470" s="1" t="s">
        <v>10</v>
      </c>
      <c r="E470" s="3" t="str">
        <f>TRIM(CLEAN(PROPER(tblClean[[#This Row],[Category]])))</f>
        <v>Utilities</v>
      </c>
      <c r="F470" s="10" t="s">
        <v>954</v>
      </c>
      <c r="G470" s="1" t="s">
        <v>8</v>
      </c>
      <c r="H470" s="15">
        <f>MONTH(tblClean[[#This Row],[Date]])</f>
        <v>7</v>
      </c>
      <c r="I470" s="15">
        <f>YEAR(tblClean[[#This Row],[Date]])</f>
        <v>2021</v>
      </c>
    </row>
    <row r="471" spans="1:9" x14ac:dyDescent="0.25">
      <c r="A471" s="7">
        <v>44406</v>
      </c>
      <c r="B471" s="2" t="s">
        <v>955</v>
      </c>
      <c r="C471" s="4" t="str">
        <f>TRIM(CLEAN(PROPER(tblClean[[#This Row],[Transaction Description]])))</f>
        <v>White Measure Manager Range.</v>
      </c>
      <c r="D471" s="2" t="s">
        <v>22</v>
      </c>
      <c r="E471" s="3" t="str">
        <f>TRIM(CLEAN(PROPER(tblClean[[#This Row],[Category]])))</f>
        <v>Shopping</v>
      </c>
      <c r="F471" s="11" t="s">
        <v>956</v>
      </c>
      <c r="G471" s="2" t="s">
        <v>8</v>
      </c>
      <c r="H471" s="15">
        <f>MONTH(tblClean[[#This Row],[Date]])</f>
        <v>7</v>
      </c>
      <c r="I471" s="15">
        <f>YEAR(tblClean[[#This Row],[Date]])</f>
        <v>2021</v>
      </c>
    </row>
    <row r="472" spans="1:9" x14ac:dyDescent="0.25">
      <c r="A472" s="6">
        <v>44410</v>
      </c>
      <c r="B472" s="1" t="s">
        <v>957</v>
      </c>
      <c r="C472" s="3" t="str">
        <f>TRIM(CLEAN(PROPER(tblClean[[#This Row],[Transaction Description]])))</f>
        <v>Major Bar Air Set.</v>
      </c>
      <c r="D472" s="1" t="s">
        <v>53</v>
      </c>
      <c r="E472" s="3" t="str">
        <f>TRIM(CLEAN(PROPER(tblClean[[#This Row],[Category]])))</f>
        <v>Travel</v>
      </c>
      <c r="F472" s="10" t="s">
        <v>958</v>
      </c>
      <c r="G472" s="1" t="s">
        <v>8</v>
      </c>
      <c r="H472" s="15">
        <f>MONTH(tblClean[[#This Row],[Date]])</f>
        <v>8</v>
      </c>
      <c r="I472" s="15">
        <f>YEAR(tblClean[[#This Row],[Date]])</f>
        <v>2021</v>
      </c>
    </row>
    <row r="473" spans="1:9" x14ac:dyDescent="0.25">
      <c r="A473" s="7">
        <v>44414</v>
      </c>
      <c r="B473" s="2" t="s">
        <v>959</v>
      </c>
      <c r="C473" s="4" t="str">
        <f>TRIM(CLEAN(PROPER(tblClean[[#This Row],[Transaction Description]])))</f>
        <v>Ever Mrs.</v>
      </c>
      <c r="D473" s="2" t="s">
        <v>38</v>
      </c>
      <c r="E473" s="3" t="str">
        <f>TRIM(CLEAN(PROPER(tblClean[[#This Row],[Category]])))</f>
        <v>Salary</v>
      </c>
      <c r="F473" s="11" t="s">
        <v>960</v>
      </c>
      <c r="G473" s="2" t="s">
        <v>8</v>
      </c>
      <c r="H473" s="15">
        <f>MONTH(tblClean[[#This Row],[Date]])</f>
        <v>8</v>
      </c>
      <c r="I473" s="15">
        <f>YEAR(tblClean[[#This Row],[Date]])</f>
        <v>2021</v>
      </c>
    </row>
    <row r="474" spans="1:9" x14ac:dyDescent="0.25">
      <c r="A474" s="7">
        <v>44415</v>
      </c>
      <c r="B474" s="2" t="s">
        <v>963</v>
      </c>
      <c r="C474" s="4" t="str">
        <f>TRIM(CLEAN(PROPER(tblClean[[#This Row],[Transaction Description]])))</f>
        <v>Environmental Myself.</v>
      </c>
      <c r="D474" s="2" t="s">
        <v>16</v>
      </c>
      <c r="E474" s="3" t="str">
        <f>TRIM(CLEAN(PROPER(tblClean[[#This Row],[Category]])))</f>
        <v>Investment</v>
      </c>
      <c r="F474" s="11" t="s">
        <v>964</v>
      </c>
      <c r="G474" s="2" t="s">
        <v>18</v>
      </c>
      <c r="H474" s="15">
        <f>MONTH(tblClean[[#This Row],[Date]])</f>
        <v>8</v>
      </c>
      <c r="I474" s="15">
        <f>YEAR(tblClean[[#This Row],[Date]])</f>
        <v>2021</v>
      </c>
    </row>
    <row r="475" spans="1:9" x14ac:dyDescent="0.25">
      <c r="A475" s="6">
        <v>44415</v>
      </c>
      <c r="B475" s="1" t="s">
        <v>961</v>
      </c>
      <c r="C475" s="3" t="str">
        <f>TRIM(CLEAN(PROPER(tblClean[[#This Row],[Transaction Description]])))</f>
        <v>Not Significant Manager Member.</v>
      </c>
      <c r="D475" s="1" t="s">
        <v>38</v>
      </c>
      <c r="E475" s="3" t="str">
        <f>TRIM(CLEAN(PROPER(tblClean[[#This Row],[Category]])))</f>
        <v>Salary</v>
      </c>
      <c r="F475" s="10" t="s">
        <v>962</v>
      </c>
      <c r="G475" s="1" t="s">
        <v>8</v>
      </c>
      <c r="H475" s="15">
        <f>MONTH(tblClean[[#This Row],[Date]])</f>
        <v>8</v>
      </c>
      <c r="I475" s="15">
        <f>YEAR(tblClean[[#This Row],[Date]])</f>
        <v>2021</v>
      </c>
    </row>
    <row r="476" spans="1:9" x14ac:dyDescent="0.25">
      <c r="A476" s="6">
        <v>44416</v>
      </c>
      <c r="B476" s="1" t="s">
        <v>965</v>
      </c>
      <c r="C476" s="3" t="str">
        <f>TRIM(CLEAN(PROPER(tblClean[[#This Row],[Transaction Description]])))</f>
        <v>State Among Rest National Wrong.</v>
      </c>
      <c r="D476" s="1" t="s">
        <v>6</v>
      </c>
      <c r="E476" s="3" t="str">
        <f>TRIM(CLEAN(PROPER(tblClean[[#This Row],[Category]])))</f>
        <v>Food &amp; Drink</v>
      </c>
      <c r="F476" s="10" t="s">
        <v>966</v>
      </c>
      <c r="G476" s="1" t="s">
        <v>8</v>
      </c>
      <c r="H476" s="15">
        <f>MONTH(tblClean[[#This Row],[Date]])</f>
        <v>8</v>
      </c>
      <c r="I476" s="15">
        <f>YEAR(tblClean[[#This Row],[Date]])</f>
        <v>2021</v>
      </c>
    </row>
    <row r="477" spans="1:9" x14ac:dyDescent="0.25">
      <c r="A477" s="7">
        <v>44417</v>
      </c>
      <c r="B477" s="2" t="s">
        <v>967</v>
      </c>
      <c r="C477" s="4" t="str">
        <f>TRIM(CLEAN(PROPER(tblClean[[#This Row],[Transaction Description]])))</f>
        <v>Fear Yourself Last.</v>
      </c>
      <c r="D477" s="2" t="s">
        <v>22</v>
      </c>
      <c r="E477" s="3" t="str">
        <f>TRIM(CLEAN(PROPER(tblClean[[#This Row],[Category]])))</f>
        <v>Shopping</v>
      </c>
      <c r="F477" s="11" t="s">
        <v>968</v>
      </c>
      <c r="G477" s="2" t="s">
        <v>8</v>
      </c>
      <c r="H477" s="15">
        <f>MONTH(tblClean[[#This Row],[Date]])</f>
        <v>8</v>
      </c>
      <c r="I477" s="15">
        <f>YEAR(tblClean[[#This Row],[Date]])</f>
        <v>2021</v>
      </c>
    </row>
    <row r="478" spans="1:9" x14ac:dyDescent="0.25">
      <c r="A478" s="6">
        <v>44419</v>
      </c>
      <c r="B478" s="1" t="s">
        <v>969</v>
      </c>
      <c r="C478" s="3" t="str">
        <f>TRIM(CLEAN(PROPER(tblClean[[#This Row],[Transaction Description]])))</f>
        <v>Keep Yes.</v>
      </c>
      <c r="D478" s="1" t="s">
        <v>35</v>
      </c>
      <c r="E478" s="3" t="str">
        <f>TRIM(CLEAN(PROPER(tblClean[[#This Row],[Category]])))</f>
        <v>Health &amp; Fitness</v>
      </c>
      <c r="F478" s="10" t="s">
        <v>970</v>
      </c>
      <c r="G478" s="1" t="s">
        <v>8</v>
      </c>
      <c r="H478" s="15">
        <f>MONTH(tblClean[[#This Row],[Date]])</f>
        <v>8</v>
      </c>
      <c r="I478" s="15">
        <f>YEAR(tblClean[[#This Row],[Date]])</f>
        <v>2021</v>
      </c>
    </row>
    <row r="479" spans="1:9" x14ac:dyDescent="0.25">
      <c r="A479" s="7">
        <v>44421</v>
      </c>
      <c r="B479" s="2" t="s">
        <v>971</v>
      </c>
      <c r="C479" s="4" t="str">
        <f>TRIM(CLEAN(PROPER(tblClean[[#This Row],[Transaction Description]])))</f>
        <v>Specific Onto Go.</v>
      </c>
      <c r="D479" s="2" t="s">
        <v>6</v>
      </c>
      <c r="E479" s="3" t="str">
        <f>TRIM(CLEAN(PROPER(tblClean[[#This Row],[Category]])))</f>
        <v>Food &amp; Drink</v>
      </c>
      <c r="F479" s="11" t="s">
        <v>972</v>
      </c>
      <c r="G479" s="2" t="s">
        <v>8</v>
      </c>
      <c r="H479" s="15">
        <f>MONTH(tblClean[[#This Row],[Date]])</f>
        <v>8</v>
      </c>
      <c r="I479" s="15">
        <f>YEAR(tblClean[[#This Row],[Date]])</f>
        <v>2021</v>
      </c>
    </row>
    <row r="480" spans="1:9" x14ac:dyDescent="0.25">
      <c r="A480" s="6">
        <v>44421</v>
      </c>
      <c r="B480" s="1" t="s">
        <v>973</v>
      </c>
      <c r="C480" s="3" t="str">
        <f>TRIM(CLEAN(PROPER(tblClean[[#This Row],[Transaction Description]])))</f>
        <v>Pattern Size Spend.</v>
      </c>
      <c r="D480" s="1" t="s">
        <v>22</v>
      </c>
      <c r="E480" s="3" t="str">
        <f>TRIM(CLEAN(PROPER(tblClean[[#This Row],[Category]])))</f>
        <v>Shopping</v>
      </c>
      <c r="F480" s="10" t="s">
        <v>974</v>
      </c>
      <c r="G480" s="1" t="s">
        <v>8</v>
      </c>
      <c r="H480" s="15">
        <f>MONTH(tblClean[[#This Row],[Date]])</f>
        <v>8</v>
      </c>
      <c r="I480" s="15">
        <f>YEAR(tblClean[[#This Row],[Date]])</f>
        <v>2021</v>
      </c>
    </row>
    <row r="481" spans="1:9" x14ac:dyDescent="0.25">
      <c r="A481" s="7">
        <v>44423</v>
      </c>
      <c r="B481" s="2" t="s">
        <v>975</v>
      </c>
      <c r="C481" s="4" t="str">
        <f>TRIM(CLEAN(PROPER(tblClean[[#This Row],[Transaction Description]])))</f>
        <v>Go Exactly Much Food Region.</v>
      </c>
      <c r="D481" s="2" t="s">
        <v>6</v>
      </c>
      <c r="E481" s="3" t="str">
        <f>TRIM(CLEAN(PROPER(tblClean[[#This Row],[Category]])))</f>
        <v>Food &amp; Drink</v>
      </c>
      <c r="F481" s="11" t="s">
        <v>976</v>
      </c>
      <c r="G481" s="2" t="s">
        <v>8</v>
      </c>
      <c r="H481" s="15">
        <f>MONTH(tblClean[[#This Row],[Date]])</f>
        <v>8</v>
      </c>
      <c r="I481" s="15">
        <f>YEAR(tblClean[[#This Row],[Date]])</f>
        <v>2021</v>
      </c>
    </row>
    <row r="482" spans="1:9" x14ac:dyDescent="0.25">
      <c r="A482" s="6">
        <v>44424</v>
      </c>
      <c r="B482" s="1" t="s">
        <v>977</v>
      </c>
      <c r="C482" s="3" t="str">
        <f>TRIM(CLEAN(PROPER(tblClean[[#This Row],[Transaction Description]])))</f>
        <v>Environment Teach World Quickly Believe.</v>
      </c>
      <c r="D482" s="1" t="s">
        <v>16</v>
      </c>
      <c r="E482" s="3" t="str">
        <f>TRIM(CLEAN(PROPER(tblClean[[#This Row],[Category]])))</f>
        <v>Investment</v>
      </c>
      <c r="F482" s="10" t="s">
        <v>978</v>
      </c>
      <c r="G482" s="1" t="s">
        <v>18</v>
      </c>
      <c r="H482" s="15">
        <f>MONTH(tblClean[[#This Row],[Date]])</f>
        <v>8</v>
      </c>
      <c r="I482" s="15">
        <f>YEAR(tblClean[[#This Row],[Date]])</f>
        <v>2021</v>
      </c>
    </row>
    <row r="483" spans="1:9" x14ac:dyDescent="0.25">
      <c r="A483" s="7">
        <v>44426</v>
      </c>
      <c r="B483" s="2" t="s">
        <v>979</v>
      </c>
      <c r="C483" s="4" t="str">
        <f>TRIM(CLEAN(PROPER(tblClean[[#This Row],[Transaction Description]])))</f>
        <v>Yeah Term.</v>
      </c>
      <c r="D483" s="2" t="s">
        <v>35</v>
      </c>
      <c r="E483" s="3" t="str">
        <f>TRIM(CLEAN(PROPER(tblClean[[#This Row],[Category]])))</f>
        <v>Health &amp; Fitness</v>
      </c>
      <c r="F483" s="11" t="s">
        <v>980</v>
      </c>
      <c r="G483" s="2" t="s">
        <v>8</v>
      </c>
      <c r="H483" s="15">
        <f>MONTH(tblClean[[#This Row],[Date]])</f>
        <v>8</v>
      </c>
      <c r="I483" s="15">
        <f>YEAR(tblClean[[#This Row],[Date]])</f>
        <v>2021</v>
      </c>
    </row>
    <row r="484" spans="1:9" x14ac:dyDescent="0.25">
      <c r="A484" s="6">
        <v>44428</v>
      </c>
      <c r="B484" s="1" t="s">
        <v>981</v>
      </c>
      <c r="C484" s="3" t="str">
        <f>TRIM(CLEAN(PROPER(tblClean[[#This Row],[Transaction Description]])))</f>
        <v>Economic Represent Stock.</v>
      </c>
      <c r="D484" s="1" t="s">
        <v>35</v>
      </c>
      <c r="E484" s="3" t="str">
        <f>TRIM(CLEAN(PROPER(tblClean[[#This Row],[Category]])))</f>
        <v>Health &amp; Fitness</v>
      </c>
      <c r="F484" s="10" t="s">
        <v>982</v>
      </c>
      <c r="G484" s="1" t="s">
        <v>8</v>
      </c>
      <c r="H484" s="15">
        <f>MONTH(tblClean[[#This Row],[Date]])</f>
        <v>8</v>
      </c>
      <c r="I484" s="15">
        <f>YEAR(tblClean[[#This Row],[Date]])</f>
        <v>2021</v>
      </c>
    </row>
    <row r="485" spans="1:9" x14ac:dyDescent="0.25">
      <c r="A485" s="7">
        <v>44429</v>
      </c>
      <c r="B485" s="2" t="s">
        <v>983</v>
      </c>
      <c r="C485" s="4" t="str">
        <f>TRIM(CLEAN(PROPER(tblClean[[#This Row],[Transaction Description]])))</f>
        <v>Central Plan Physical Heart.</v>
      </c>
      <c r="D485" s="2" t="s">
        <v>27</v>
      </c>
      <c r="E485" s="3" t="str">
        <f>TRIM(CLEAN(PROPER(tblClean[[#This Row],[Category]])))</f>
        <v>Other</v>
      </c>
      <c r="F485" s="11" t="s">
        <v>984</v>
      </c>
      <c r="G485" s="2" t="s">
        <v>18</v>
      </c>
      <c r="H485" s="15">
        <f>MONTH(tblClean[[#This Row],[Date]])</f>
        <v>8</v>
      </c>
      <c r="I485" s="15">
        <f>YEAR(tblClean[[#This Row],[Date]])</f>
        <v>2021</v>
      </c>
    </row>
    <row r="486" spans="1:9" x14ac:dyDescent="0.25">
      <c r="A486" s="6">
        <v>44429</v>
      </c>
      <c r="B486" s="1" t="s">
        <v>985</v>
      </c>
      <c r="C486" s="3" t="str">
        <f>TRIM(CLEAN(PROPER(tblClean[[#This Row],[Transaction Description]])))</f>
        <v>Idea Seek.</v>
      </c>
      <c r="D486" s="1" t="s">
        <v>10</v>
      </c>
      <c r="E486" s="3" t="str">
        <f>TRIM(CLEAN(PROPER(tblClean[[#This Row],[Category]])))</f>
        <v>Utilities</v>
      </c>
      <c r="F486" s="10" t="s">
        <v>986</v>
      </c>
      <c r="G486" s="1" t="s">
        <v>8</v>
      </c>
      <c r="H486" s="15">
        <f>MONTH(tblClean[[#This Row],[Date]])</f>
        <v>8</v>
      </c>
      <c r="I486" s="15">
        <f>YEAR(tblClean[[#This Row],[Date]])</f>
        <v>2021</v>
      </c>
    </row>
    <row r="487" spans="1:9" x14ac:dyDescent="0.25">
      <c r="A487" s="7">
        <v>44430</v>
      </c>
      <c r="B487" s="2" t="s">
        <v>987</v>
      </c>
      <c r="C487" s="4" t="str">
        <f>TRIM(CLEAN(PROPER(tblClean[[#This Row],[Transaction Description]])))</f>
        <v>Wear Force Able Similar.</v>
      </c>
      <c r="D487" s="2" t="s">
        <v>38</v>
      </c>
      <c r="E487" s="3" t="str">
        <f>TRIM(CLEAN(PROPER(tblClean[[#This Row],[Category]])))</f>
        <v>Salary</v>
      </c>
      <c r="F487" s="11" t="s">
        <v>988</v>
      </c>
      <c r="G487" s="2" t="s">
        <v>8</v>
      </c>
      <c r="H487" s="15">
        <f>MONTH(tblClean[[#This Row],[Date]])</f>
        <v>8</v>
      </c>
      <c r="I487" s="15">
        <f>YEAR(tblClean[[#This Row],[Date]])</f>
        <v>2021</v>
      </c>
    </row>
    <row r="488" spans="1:9" x14ac:dyDescent="0.25">
      <c r="A488" s="6">
        <v>44431</v>
      </c>
      <c r="B488" s="1" t="s">
        <v>989</v>
      </c>
      <c r="C488" s="3" t="str">
        <f>TRIM(CLEAN(PROPER(tblClean[[#This Row],[Transaction Description]])))</f>
        <v>Play Recently Sure Somebody.</v>
      </c>
      <c r="D488" s="1" t="s">
        <v>30</v>
      </c>
      <c r="E488" s="3" t="str">
        <f>TRIM(CLEAN(PROPER(tblClean[[#This Row],[Category]])))</f>
        <v>Entertainment</v>
      </c>
      <c r="F488" s="10" t="s">
        <v>990</v>
      </c>
      <c r="G488" s="1" t="s">
        <v>8</v>
      </c>
      <c r="H488" s="15">
        <f>MONTH(tblClean[[#This Row],[Date]])</f>
        <v>8</v>
      </c>
      <c r="I488" s="15">
        <f>YEAR(tblClean[[#This Row],[Date]])</f>
        <v>2021</v>
      </c>
    </row>
    <row r="489" spans="1:9" x14ac:dyDescent="0.25">
      <c r="A489" s="7">
        <v>44432</v>
      </c>
      <c r="B489" s="2" t="s">
        <v>991</v>
      </c>
      <c r="C489" s="4" t="str">
        <f>TRIM(CLEAN(PROPER(tblClean[[#This Row],[Transaction Description]])))</f>
        <v>Why Station Manager.</v>
      </c>
      <c r="D489" s="2" t="s">
        <v>53</v>
      </c>
      <c r="E489" s="3" t="str">
        <f>TRIM(CLEAN(PROPER(tblClean[[#This Row],[Category]])))</f>
        <v>Travel</v>
      </c>
      <c r="F489" s="11" t="s">
        <v>992</v>
      </c>
      <c r="G489" s="2" t="s">
        <v>8</v>
      </c>
      <c r="H489" s="15">
        <f>MONTH(tblClean[[#This Row],[Date]])</f>
        <v>8</v>
      </c>
      <c r="I489" s="15">
        <f>YEAR(tblClean[[#This Row],[Date]])</f>
        <v>2021</v>
      </c>
    </row>
    <row r="490" spans="1:9" x14ac:dyDescent="0.25">
      <c r="A490" s="6">
        <v>44433</v>
      </c>
      <c r="B490" s="1" t="s">
        <v>993</v>
      </c>
      <c r="C490" s="3" t="str">
        <f>TRIM(CLEAN(PROPER(tblClean[[#This Row],[Transaction Description]])))</f>
        <v>Front Official Not.</v>
      </c>
      <c r="D490" s="1" t="s">
        <v>38</v>
      </c>
      <c r="E490" s="3" t="str">
        <f>TRIM(CLEAN(PROPER(tblClean[[#This Row],[Category]])))</f>
        <v>Salary</v>
      </c>
      <c r="F490" s="10" t="s">
        <v>994</v>
      </c>
      <c r="G490" s="1" t="s">
        <v>8</v>
      </c>
      <c r="H490" s="15">
        <f>MONTH(tblClean[[#This Row],[Date]])</f>
        <v>8</v>
      </c>
      <c r="I490" s="15">
        <f>YEAR(tblClean[[#This Row],[Date]])</f>
        <v>2021</v>
      </c>
    </row>
    <row r="491" spans="1:9" x14ac:dyDescent="0.25">
      <c r="A491" s="7">
        <v>44435</v>
      </c>
      <c r="B491" s="2" t="s">
        <v>995</v>
      </c>
      <c r="C491" s="4" t="str">
        <f>TRIM(CLEAN(PROPER(tblClean[[#This Row],[Transaction Description]])))</f>
        <v>Thus Several Animal Phone.</v>
      </c>
      <c r="D491" s="2" t="s">
        <v>30</v>
      </c>
      <c r="E491" s="3" t="str">
        <f>TRIM(CLEAN(PROPER(tblClean[[#This Row],[Category]])))</f>
        <v>Entertainment</v>
      </c>
      <c r="F491" s="11" t="s">
        <v>996</v>
      </c>
      <c r="G491" s="2" t="s">
        <v>8</v>
      </c>
      <c r="H491" s="15">
        <f>MONTH(tblClean[[#This Row],[Date]])</f>
        <v>8</v>
      </c>
      <c r="I491" s="15">
        <f>YEAR(tblClean[[#This Row],[Date]])</f>
        <v>2021</v>
      </c>
    </row>
    <row r="492" spans="1:9" x14ac:dyDescent="0.25">
      <c r="A492" s="6">
        <v>44437</v>
      </c>
      <c r="B492" s="1" t="s">
        <v>997</v>
      </c>
      <c r="C492" s="3" t="str">
        <f>TRIM(CLEAN(PROPER(tblClean[[#This Row],[Transaction Description]])))</f>
        <v>Buy Tax.</v>
      </c>
      <c r="D492" s="1" t="s">
        <v>6</v>
      </c>
      <c r="E492" s="3" t="str">
        <f>TRIM(CLEAN(PROPER(tblClean[[#This Row],[Category]])))</f>
        <v>Food &amp; Drink</v>
      </c>
      <c r="F492" s="10" t="s">
        <v>998</v>
      </c>
      <c r="G492" s="1" t="s">
        <v>8</v>
      </c>
      <c r="H492" s="15">
        <f>MONTH(tblClean[[#This Row],[Date]])</f>
        <v>8</v>
      </c>
      <c r="I492" s="15">
        <f>YEAR(tblClean[[#This Row],[Date]])</f>
        <v>2021</v>
      </c>
    </row>
    <row r="493" spans="1:9" x14ac:dyDescent="0.25">
      <c r="A493" s="7">
        <v>44444</v>
      </c>
      <c r="B493" s="2" t="s">
        <v>999</v>
      </c>
      <c r="C493" s="4" t="str">
        <f>TRIM(CLEAN(PROPER(tblClean[[#This Row],[Transaction Description]])))</f>
        <v>A When Dark Read.</v>
      </c>
      <c r="D493" s="2" t="s">
        <v>13</v>
      </c>
      <c r="E493" s="3" t="str">
        <f>TRIM(CLEAN(PROPER(tblClean[[#This Row],[Category]])))</f>
        <v>Rent</v>
      </c>
      <c r="F493" s="11" t="s">
        <v>1000</v>
      </c>
      <c r="G493" s="2" t="s">
        <v>8</v>
      </c>
      <c r="H493" s="15">
        <f>MONTH(tblClean[[#This Row],[Date]])</f>
        <v>9</v>
      </c>
      <c r="I493" s="15">
        <f>YEAR(tblClean[[#This Row],[Date]])</f>
        <v>2021</v>
      </c>
    </row>
    <row r="494" spans="1:9" x14ac:dyDescent="0.25">
      <c r="A494" s="6">
        <v>44445</v>
      </c>
      <c r="B494" s="1" t="s">
        <v>1001</v>
      </c>
      <c r="C494" s="3" t="str">
        <f>TRIM(CLEAN(PROPER(tblClean[[#This Row],[Transaction Description]])))</f>
        <v>City Usually Ever.</v>
      </c>
      <c r="D494" s="1" t="s">
        <v>22</v>
      </c>
      <c r="E494" s="3" t="str">
        <f>TRIM(CLEAN(PROPER(tblClean[[#This Row],[Category]])))</f>
        <v>Shopping</v>
      </c>
      <c r="F494" s="10" t="s">
        <v>1002</v>
      </c>
      <c r="G494" s="1" t="s">
        <v>8</v>
      </c>
      <c r="H494" s="15">
        <f>MONTH(tblClean[[#This Row],[Date]])</f>
        <v>9</v>
      </c>
      <c r="I494" s="15">
        <f>YEAR(tblClean[[#This Row],[Date]])</f>
        <v>2021</v>
      </c>
    </row>
    <row r="495" spans="1:9" x14ac:dyDescent="0.25">
      <c r="A495" s="6">
        <v>44448</v>
      </c>
      <c r="B495" s="1" t="s">
        <v>1005</v>
      </c>
      <c r="C495" s="3" t="str">
        <f>TRIM(CLEAN(PROPER(tblClean[[#This Row],[Transaction Description]])))</f>
        <v>Personal Rise Sense Investment.</v>
      </c>
      <c r="D495" s="1" t="s">
        <v>27</v>
      </c>
      <c r="E495" s="3" t="str">
        <f>TRIM(CLEAN(PROPER(tblClean[[#This Row],[Category]])))</f>
        <v>Other</v>
      </c>
      <c r="F495" s="10" t="s">
        <v>1006</v>
      </c>
      <c r="G495" s="1" t="s">
        <v>18</v>
      </c>
      <c r="H495" s="15">
        <f>MONTH(tblClean[[#This Row],[Date]])</f>
        <v>9</v>
      </c>
      <c r="I495" s="15">
        <f>YEAR(tblClean[[#This Row],[Date]])</f>
        <v>2021</v>
      </c>
    </row>
    <row r="496" spans="1:9" x14ac:dyDescent="0.25">
      <c r="A496" s="7">
        <v>44448</v>
      </c>
      <c r="B496" s="2" t="s">
        <v>1003</v>
      </c>
      <c r="C496" s="4" t="str">
        <f>TRIM(CLEAN(PROPER(tblClean[[#This Row],[Transaction Description]])))</f>
        <v>Bar Professor Power.</v>
      </c>
      <c r="D496" s="2" t="s">
        <v>22</v>
      </c>
      <c r="E496" s="3" t="str">
        <f>TRIM(CLEAN(PROPER(tblClean[[#This Row],[Category]])))</f>
        <v>Shopping</v>
      </c>
      <c r="F496" s="11" t="s">
        <v>1004</v>
      </c>
      <c r="G496" s="2" t="s">
        <v>8</v>
      </c>
      <c r="H496" s="15">
        <f>MONTH(tblClean[[#This Row],[Date]])</f>
        <v>9</v>
      </c>
      <c r="I496" s="15">
        <f>YEAR(tblClean[[#This Row],[Date]])</f>
        <v>2021</v>
      </c>
    </row>
    <row r="497" spans="1:9" x14ac:dyDescent="0.25">
      <c r="A497" s="7">
        <v>44448</v>
      </c>
      <c r="B497" s="2" t="s">
        <v>1007</v>
      </c>
      <c r="C497" s="4" t="str">
        <f>TRIM(CLEAN(PROPER(tblClean[[#This Row],[Transaction Description]])))</f>
        <v>Ability Live.</v>
      </c>
      <c r="D497" s="2" t="s">
        <v>53</v>
      </c>
      <c r="E497" s="3" t="str">
        <f>TRIM(CLEAN(PROPER(tblClean[[#This Row],[Category]])))</f>
        <v>Travel</v>
      </c>
      <c r="F497" s="11" t="s">
        <v>1008</v>
      </c>
      <c r="G497" s="2" t="s">
        <v>8</v>
      </c>
      <c r="H497" s="15">
        <f>MONTH(tblClean[[#This Row],[Date]])</f>
        <v>9</v>
      </c>
      <c r="I497" s="15">
        <f>YEAR(tblClean[[#This Row],[Date]])</f>
        <v>2021</v>
      </c>
    </row>
    <row r="498" spans="1:9" x14ac:dyDescent="0.25">
      <c r="A498" s="6">
        <v>44449</v>
      </c>
      <c r="B498" s="1" t="s">
        <v>1009</v>
      </c>
      <c r="C498" s="3" t="str">
        <f>TRIM(CLEAN(PROPER(tblClean[[#This Row],[Transaction Description]])))</f>
        <v>Difficult Quite Act Receive Stage.</v>
      </c>
      <c r="D498" s="1" t="s">
        <v>13</v>
      </c>
      <c r="E498" s="3" t="str">
        <f>TRIM(CLEAN(PROPER(tblClean[[#This Row],[Category]])))</f>
        <v>Rent</v>
      </c>
      <c r="F498" s="10" t="s">
        <v>1010</v>
      </c>
      <c r="G498" s="1" t="s">
        <v>8</v>
      </c>
      <c r="H498" s="15">
        <f>MONTH(tblClean[[#This Row],[Date]])</f>
        <v>9</v>
      </c>
      <c r="I498" s="15">
        <f>YEAR(tblClean[[#This Row],[Date]])</f>
        <v>2021</v>
      </c>
    </row>
    <row r="499" spans="1:9" x14ac:dyDescent="0.25">
      <c r="A499" s="6">
        <v>44450</v>
      </c>
      <c r="B499" s="1" t="s">
        <v>1013</v>
      </c>
      <c r="C499" s="3" t="str">
        <f>TRIM(CLEAN(PROPER(tblClean[[#This Row],[Transaction Description]])))</f>
        <v>Finish Thing.</v>
      </c>
      <c r="D499" s="1" t="s">
        <v>13</v>
      </c>
      <c r="E499" s="3" t="str">
        <f>TRIM(CLEAN(PROPER(tblClean[[#This Row],[Category]])))</f>
        <v>Rent</v>
      </c>
      <c r="F499" s="10" t="s">
        <v>1014</v>
      </c>
      <c r="G499" s="1" t="s">
        <v>8</v>
      </c>
      <c r="H499" s="15">
        <f>MONTH(tblClean[[#This Row],[Date]])</f>
        <v>9</v>
      </c>
      <c r="I499" s="15">
        <f>YEAR(tblClean[[#This Row],[Date]])</f>
        <v>2021</v>
      </c>
    </row>
    <row r="500" spans="1:9" x14ac:dyDescent="0.25">
      <c r="A500" s="7">
        <v>44450</v>
      </c>
      <c r="B500" s="2" t="s">
        <v>1015</v>
      </c>
      <c r="C500" s="4" t="str">
        <f>TRIM(CLEAN(PROPER(tblClean[[#This Row],[Transaction Description]])))</f>
        <v>Similar Send Card Year.</v>
      </c>
      <c r="D500" s="2" t="s">
        <v>38</v>
      </c>
      <c r="E500" s="3" t="str">
        <f>TRIM(CLEAN(PROPER(tblClean[[#This Row],[Category]])))</f>
        <v>Salary</v>
      </c>
      <c r="F500" s="11" t="s">
        <v>1016</v>
      </c>
      <c r="G500" s="2" t="s">
        <v>8</v>
      </c>
      <c r="H500" s="15">
        <f>MONTH(tblClean[[#This Row],[Date]])</f>
        <v>9</v>
      </c>
      <c r="I500" s="15">
        <f>YEAR(tblClean[[#This Row],[Date]])</f>
        <v>2021</v>
      </c>
    </row>
    <row r="501" spans="1:9" x14ac:dyDescent="0.25">
      <c r="A501" s="6">
        <v>44450</v>
      </c>
      <c r="B501" s="1" t="s">
        <v>1017</v>
      </c>
      <c r="C501" s="3" t="str">
        <f>TRIM(CLEAN(PROPER(tblClean[[#This Row],[Transaction Description]])))</f>
        <v>Most Across.</v>
      </c>
      <c r="D501" s="1" t="s">
        <v>38</v>
      </c>
      <c r="E501" s="3" t="str">
        <f>TRIM(CLEAN(PROPER(tblClean[[#This Row],[Category]])))</f>
        <v>Salary</v>
      </c>
      <c r="F501" s="10" t="s">
        <v>1018</v>
      </c>
      <c r="G501" s="1" t="s">
        <v>8</v>
      </c>
      <c r="H501" s="15">
        <f>MONTH(tblClean[[#This Row],[Date]])</f>
        <v>9</v>
      </c>
      <c r="I501" s="15">
        <f>YEAR(tblClean[[#This Row],[Date]])</f>
        <v>2021</v>
      </c>
    </row>
    <row r="502" spans="1:9" x14ac:dyDescent="0.25">
      <c r="A502" s="7">
        <v>44450</v>
      </c>
      <c r="B502" s="2" t="s">
        <v>1011</v>
      </c>
      <c r="C502" s="4" t="str">
        <f>TRIM(CLEAN(PROPER(tblClean[[#This Row],[Transaction Description]])))</f>
        <v>Local Director Become.</v>
      </c>
      <c r="D502" s="2" t="s">
        <v>10</v>
      </c>
      <c r="E502" s="3" t="str">
        <f>TRIM(CLEAN(PROPER(tblClean[[#This Row],[Category]])))</f>
        <v>Utilities</v>
      </c>
      <c r="F502" s="11" t="s">
        <v>1012</v>
      </c>
      <c r="G502" s="2" t="s">
        <v>8</v>
      </c>
      <c r="H502" s="15">
        <f>MONTH(tblClean[[#This Row],[Date]])</f>
        <v>9</v>
      </c>
      <c r="I502" s="15">
        <f>YEAR(tblClean[[#This Row],[Date]])</f>
        <v>2021</v>
      </c>
    </row>
    <row r="503" spans="1:9" x14ac:dyDescent="0.25">
      <c r="A503" s="7">
        <v>44454</v>
      </c>
      <c r="B503" s="2" t="s">
        <v>1019</v>
      </c>
      <c r="C503" s="4" t="str">
        <f>TRIM(CLEAN(PROPER(tblClean[[#This Row],[Transaction Description]])))</f>
        <v>Goal Defense Security Turn.</v>
      </c>
      <c r="D503" s="2" t="s">
        <v>27</v>
      </c>
      <c r="E503" s="3" t="str">
        <f>TRIM(CLEAN(PROPER(tblClean[[#This Row],[Category]])))</f>
        <v>Other</v>
      </c>
      <c r="F503" s="11" t="s">
        <v>1020</v>
      </c>
      <c r="G503" s="2" t="s">
        <v>18</v>
      </c>
      <c r="H503" s="15">
        <f>MONTH(tblClean[[#This Row],[Date]])</f>
        <v>9</v>
      </c>
      <c r="I503" s="15">
        <f>YEAR(tblClean[[#This Row],[Date]])</f>
        <v>2021</v>
      </c>
    </row>
    <row r="504" spans="1:9" x14ac:dyDescent="0.25">
      <c r="A504" s="6">
        <v>44455</v>
      </c>
      <c r="B504" s="1" t="s">
        <v>1021</v>
      </c>
      <c r="C504" s="3" t="str">
        <f>TRIM(CLEAN(PROPER(tblClean[[#This Row],[Transaction Description]])))</f>
        <v>Beautiful Beyond Sell.</v>
      </c>
      <c r="D504" s="1" t="s">
        <v>6</v>
      </c>
      <c r="E504" s="3" t="str">
        <f>TRIM(CLEAN(PROPER(tblClean[[#This Row],[Category]])))</f>
        <v>Food &amp; Drink</v>
      </c>
      <c r="F504" s="10" t="s">
        <v>1022</v>
      </c>
      <c r="G504" s="1" t="s">
        <v>8</v>
      </c>
      <c r="H504" s="15">
        <f>MONTH(tblClean[[#This Row],[Date]])</f>
        <v>9</v>
      </c>
      <c r="I504" s="15">
        <f>YEAR(tblClean[[#This Row],[Date]])</f>
        <v>2021</v>
      </c>
    </row>
    <row r="505" spans="1:9" x14ac:dyDescent="0.25">
      <c r="A505" s="7">
        <v>44455</v>
      </c>
      <c r="B505" s="2" t="s">
        <v>1023</v>
      </c>
      <c r="C505" s="4" t="str">
        <f>TRIM(CLEAN(PROPER(tblClean[[#This Row],[Transaction Description]])))</f>
        <v>White Fire Cause Everybody.</v>
      </c>
      <c r="D505" s="2" t="s">
        <v>35</v>
      </c>
      <c r="E505" s="3" t="str">
        <f>TRIM(CLEAN(PROPER(tblClean[[#This Row],[Category]])))</f>
        <v>Health &amp; Fitness</v>
      </c>
      <c r="F505" s="11" t="s">
        <v>1024</v>
      </c>
      <c r="G505" s="2" t="s">
        <v>8</v>
      </c>
      <c r="H505" s="15">
        <f>MONTH(tblClean[[#This Row],[Date]])</f>
        <v>9</v>
      </c>
      <c r="I505" s="15">
        <f>YEAR(tblClean[[#This Row],[Date]])</f>
        <v>2021</v>
      </c>
    </row>
    <row r="506" spans="1:9" x14ac:dyDescent="0.25">
      <c r="A506" s="7">
        <v>44456</v>
      </c>
      <c r="B506" s="2" t="s">
        <v>1027</v>
      </c>
      <c r="C506" s="4" t="str">
        <f>TRIM(CLEAN(PROPER(tblClean[[#This Row],[Transaction Description]])))</f>
        <v>Day Parent Country.</v>
      </c>
      <c r="D506" s="2" t="s">
        <v>27</v>
      </c>
      <c r="E506" s="3" t="str">
        <f>TRIM(CLEAN(PROPER(tblClean[[#This Row],[Category]])))</f>
        <v>Other</v>
      </c>
      <c r="F506" s="11" t="s">
        <v>1028</v>
      </c>
      <c r="G506" s="2" t="s">
        <v>18</v>
      </c>
      <c r="H506" s="15">
        <f>MONTH(tblClean[[#This Row],[Date]])</f>
        <v>9</v>
      </c>
      <c r="I506" s="15">
        <f>YEAR(tblClean[[#This Row],[Date]])</f>
        <v>2021</v>
      </c>
    </row>
    <row r="507" spans="1:9" x14ac:dyDescent="0.25">
      <c r="A507" s="6">
        <v>44456</v>
      </c>
      <c r="B507" s="1" t="s">
        <v>1025</v>
      </c>
      <c r="C507" s="3" t="str">
        <f>TRIM(CLEAN(PROPER(tblClean[[#This Row],[Transaction Description]])))</f>
        <v>Network Outside Parent.</v>
      </c>
      <c r="D507" s="1" t="s">
        <v>10</v>
      </c>
      <c r="E507" s="3" t="str">
        <f>TRIM(CLEAN(PROPER(tblClean[[#This Row],[Category]])))</f>
        <v>Utilities</v>
      </c>
      <c r="F507" s="10" t="s">
        <v>1026</v>
      </c>
      <c r="G507" s="1" t="s">
        <v>8</v>
      </c>
      <c r="H507" s="15">
        <f>MONTH(tblClean[[#This Row],[Date]])</f>
        <v>9</v>
      </c>
      <c r="I507" s="15">
        <f>YEAR(tblClean[[#This Row],[Date]])</f>
        <v>2021</v>
      </c>
    </row>
    <row r="508" spans="1:9" x14ac:dyDescent="0.25">
      <c r="A508" s="7">
        <v>44458</v>
      </c>
      <c r="B508" s="2" t="s">
        <v>1031</v>
      </c>
      <c r="C508" s="4" t="str">
        <f>TRIM(CLEAN(PROPER(tblClean[[#This Row],[Transaction Description]])))</f>
        <v>History Drop Point Audience.</v>
      </c>
      <c r="D508" s="2" t="s">
        <v>6</v>
      </c>
      <c r="E508" s="3" t="str">
        <f>TRIM(CLEAN(PROPER(tblClean[[#This Row],[Category]])))</f>
        <v>Food &amp; Drink</v>
      </c>
      <c r="F508" s="11" t="s">
        <v>1032</v>
      </c>
      <c r="G508" s="2" t="s">
        <v>8</v>
      </c>
      <c r="H508" s="15">
        <f>MONTH(tblClean[[#This Row],[Date]])</f>
        <v>9</v>
      </c>
      <c r="I508" s="15">
        <f>YEAR(tblClean[[#This Row],[Date]])</f>
        <v>2021</v>
      </c>
    </row>
    <row r="509" spans="1:9" x14ac:dyDescent="0.25">
      <c r="A509" s="6">
        <v>44458</v>
      </c>
      <c r="B509" s="1" t="s">
        <v>1033</v>
      </c>
      <c r="C509" s="3" t="str">
        <f>TRIM(CLEAN(PROPER(tblClean[[#This Row],[Transaction Description]])))</f>
        <v>Value Car Team Nothing.</v>
      </c>
      <c r="D509" s="1" t="s">
        <v>35</v>
      </c>
      <c r="E509" s="3" t="str">
        <f>TRIM(CLEAN(PROPER(tblClean[[#This Row],[Category]])))</f>
        <v>Health &amp; Fitness</v>
      </c>
      <c r="F509" s="10" t="s">
        <v>1034</v>
      </c>
      <c r="G509" s="1" t="s">
        <v>8</v>
      </c>
      <c r="H509" s="15">
        <f>MONTH(tblClean[[#This Row],[Date]])</f>
        <v>9</v>
      </c>
      <c r="I509" s="15">
        <f>YEAR(tblClean[[#This Row],[Date]])</f>
        <v>2021</v>
      </c>
    </row>
    <row r="510" spans="1:9" x14ac:dyDescent="0.25">
      <c r="A510" s="6">
        <v>44458</v>
      </c>
      <c r="B510" s="1" t="s">
        <v>1029</v>
      </c>
      <c r="C510" s="3" t="str">
        <f>TRIM(CLEAN(PROPER(tblClean[[#This Row],[Transaction Description]])))</f>
        <v>Position Six Soldier.</v>
      </c>
      <c r="D510" s="1" t="s">
        <v>16</v>
      </c>
      <c r="E510" s="3" t="str">
        <f>TRIM(CLEAN(PROPER(tblClean[[#This Row],[Category]])))</f>
        <v>Investment</v>
      </c>
      <c r="F510" s="10" t="s">
        <v>1030</v>
      </c>
      <c r="G510" s="1" t="s">
        <v>18</v>
      </c>
      <c r="H510" s="15">
        <f>MONTH(tblClean[[#This Row],[Date]])</f>
        <v>9</v>
      </c>
      <c r="I510" s="15">
        <f>YEAR(tblClean[[#This Row],[Date]])</f>
        <v>2021</v>
      </c>
    </row>
    <row r="511" spans="1:9" x14ac:dyDescent="0.25">
      <c r="A511" s="7">
        <v>44458</v>
      </c>
      <c r="B511" s="2" t="s">
        <v>1035</v>
      </c>
      <c r="C511" s="4" t="str">
        <f>TRIM(CLEAN(PROPER(tblClean[[#This Row],[Transaction Description]])))</f>
        <v>Raise Several West Side Admit.</v>
      </c>
      <c r="D511" s="2" t="s">
        <v>10</v>
      </c>
      <c r="E511" s="3" t="str">
        <f>TRIM(CLEAN(PROPER(tblClean[[#This Row],[Category]])))</f>
        <v>Utilities</v>
      </c>
      <c r="F511" s="11" t="s">
        <v>1036</v>
      </c>
      <c r="G511" s="2" t="s">
        <v>8</v>
      </c>
      <c r="H511" s="15">
        <f>MONTH(tblClean[[#This Row],[Date]])</f>
        <v>9</v>
      </c>
      <c r="I511" s="15">
        <f>YEAR(tblClean[[#This Row],[Date]])</f>
        <v>2021</v>
      </c>
    </row>
    <row r="512" spans="1:9" x14ac:dyDescent="0.25">
      <c r="A512" s="6">
        <v>44459</v>
      </c>
      <c r="B512" s="1" t="s">
        <v>1037</v>
      </c>
      <c r="C512" s="3" t="str">
        <f>TRIM(CLEAN(PROPER(tblClean[[#This Row],[Transaction Description]])))</f>
        <v>Energy Always.</v>
      </c>
      <c r="D512" s="1" t="s">
        <v>53</v>
      </c>
      <c r="E512" s="3" t="str">
        <f>TRIM(CLEAN(PROPER(tblClean[[#This Row],[Category]])))</f>
        <v>Travel</v>
      </c>
      <c r="F512" s="10" t="s">
        <v>1038</v>
      </c>
      <c r="G512" s="1" t="s">
        <v>8</v>
      </c>
      <c r="H512" s="15">
        <f>MONTH(tblClean[[#This Row],[Date]])</f>
        <v>9</v>
      </c>
      <c r="I512" s="15">
        <f>YEAR(tblClean[[#This Row],[Date]])</f>
        <v>2021</v>
      </c>
    </row>
    <row r="513" spans="1:9" x14ac:dyDescent="0.25">
      <c r="A513" s="7">
        <v>44460</v>
      </c>
      <c r="B513" s="2" t="s">
        <v>1039</v>
      </c>
      <c r="C513" s="4" t="str">
        <f>TRIM(CLEAN(PROPER(tblClean[[#This Row],[Transaction Description]])))</f>
        <v>Media Pick May Indeed.</v>
      </c>
      <c r="D513" s="2" t="s">
        <v>16</v>
      </c>
      <c r="E513" s="3" t="str">
        <f>TRIM(CLEAN(PROPER(tblClean[[#This Row],[Category]])))</f>
        <v>Investment</v>
      </c>
      <c r="F513" s="11" t="s">
        <v>1040</v>
      </c>
      <c r="G513" s="2" t="s">
        <v>18</v>
      </c>
      <c r="H513" s="15">
        <f>MONTH(tblClean[[#This Row],[Date]])</f>
        <v>9</v>
      </c>
      <c r="I513" s="15">
        <f>YEAR(tblClean[[#This Row],[Date]])</f>
        <v>2021</v>
      </c>
    </row>
    <row r="514" spans="1:9" x14ac:dyDescent="0.25">
      <c r="A514" s="6">
        <v>44467</v>
      </c>
      <c r="B514" s="1" t="s">
        <v>1041</v>
      </c>
      <c r="C514" s="3" t="str">
        <f>TRIM(CLEAN(PROPER(tblClean[[#This Row],[Transaction Description]])))</f>
        <v>Policy Mrs.</v>
      </c>
      <c r="D514" s="1" t="s">
        <v>13</v>
      </c>
      <c r="E514" s="3" t="str">
        <f>TRIM(CLEAN(PROPER(tblClean[[#This Row],[Category]])))</f>
        <v>Rent</v>
      </c>
      <c r="F514" s="10" t="s">
        <v>1042</v>
      </c>
      <c r="G514" s="1" t="s">
        <v>8</v>
      </c>
      <c r="H514" s="15">
        <f>MONTH(tblClean[[#This Row],[Date]])</f>
        <v>9</v>
      </c>
      <c r="I514" s="15">
        <f>YEAR(tblClean[[#This Row],[Date]])</f>
        <v>2021</v>
      </c>
    </row>
    <row r="515" spans="1:9" x14ac:dyDescent="0.25">
      <c r="A515" s="7">
        <v>44470</v>
      </c>
      <c r="B515" s="2" t="s">
        <v>1043</v>
      </c>
      <c r="C515" s="4" t="str">
        <f>TRIM(CLEAN(PROPER(tblClean[[#This Row],[Transaction Description]])))</f>
        <v>Base Bad Tv.</v>
      </c>
      <c r="D515" s="2" t="s">
        <v>38</v>
      </c>
      <c r="E515" s="3" t="str">
        <f>TRIM(CLEAN(PROPER(tblClean[[#This Row],[Category]])))</f>
        <v>Salary</v>
      </c>
      <c r="F515" s="11" t="s">
        <v>1044</v>
      </c>
      <c r="G515" s="2" t="s">
        <v>8</v>
      </c>
      <c r="H515" s="15">
        <f>MONTH(tblClean[[#This Row],[Date]])</f>
        <v>10</v>
      </c>
      <c r="I515" s="15">
        <f>YEAR(tblClean[[#This Row],[Date]])</f>
        <v>2021</v>
      </c>
    </row>
    <row r="516" spans="1:9" x14ac:dyDescent="0.25">
      <c r="A516" s="6">
        <v>44476</v>
      </c>
      <c r="B516" s="1" t="s">
        <v>1045</v>
      </c>
      <c r="C516" s="3" t="str">
        <f>TRIM(CLEAN(PROPER(tblClean[[#This Row],[Transaction Description]])))</f>
        <v>Force Only Shake Power Poor.</v>
      </c>
      <c r="D516" s="1" t="s">
        <v>38</v>
      </c>
      <c r="E516" s="3" t="str">
        <f>TRIM(CLEAN(PROPER(tblClean[[#This Row],[Category]])))</f>
        <v>Salary</v>
      </c>
      <c r="F516" s="10" t="s">
        <v>1046</v>
      </c>
      <c r="G516" s="1" t="s">
        <v>8</v>
      </c>
      <c r="H516" s="15">
        <f>MONTH(tblClean[[#This Row],[Date]])</f>
        <v>10</v>
      </c>
      <c r="I516" s="15">
        <f>YEAR(tblClean[[#This Row],[Date]])</f>
        <v>2021</v>
      </c>
    </row>
    <row r="517" spans="1:9" x14ac:dyDescent="0.25">
      <c r="A517" s="7">
        <v>44477</v>
      </c>
      <c r="B517" s="2" t="s">
        <v>1047</v>
      </c>
      <c r="C517" s="4" t="str">
        <f>TRIM(CLEAN(PROPER(tblClean[[#This Row],[Transaction Description]])))</f>
        <v>Role Suffer Around Beat.</v>
      </c>
      <c r="D517" s="2" t="s">
        <v>16</v>
      </c>
      <c r="E517" s="3" t="str">
        <f>TRIM(CLEAN(PROPER(tblClean[[#This Row],[Category]])))</f>
        <v>Investment</v>
      </c>
      <c r="F517" s="11" t="s">
        <v>1048</v>
      </c>
      <c r="G517" s="2" t="s">
        <v>18</v>
      </c>
      <c r="H517" s="15">
        <f>MONTH(tblClean[[#This Row],[Date]])</f>
        <v>10</v>
      </c>
      <c r="I517" s="15">
        <f>YEAR(tblClean[[#This Row],[Date]])</f>
        <v>2021</v>
      </c>
    </row>
    <row r="518" spans="1:9" x14ac:dyDescent="0.25">
      <c r="A518" s="7">
        <v>44482</v>
      </c>
      <c r="B518" s="2" t="s">
        <v>1051</v>
      </c>
      <c r="C518" s="4" t="str">
        <f>TRIM(CLEAN(PROPER(tblClean[[#This Row],[Transaction Description]])))</f>
        <v>Budget Remain Reduce.</v>
      </c>
      <c r="D518" s="2" t="s">
        <v>35</v>
      </c>
      <c r="E518" s="3" t="str">
        <f>TRIM(CLEAN(PROPER(tblClean[[#This Row],[Category]])))</f>
        <v>Health &amp; Fitness</v>
      </c>
      <c r="F518" s="11" t="s">
        <v>1052</v>
      </c>
      <c r="G518" s="2" t="s">
        <v>8</v>
      </c>
      <c r="H518" s="15">
        <f>MONTH(tblClean[[#This Row],[Date]])</f>
        <v>10</v>
      </c>
      <c r="I518" s="15">
        <f>YEAR(tblClean[[#This Row],[Date]])</f>
        <v>2021</v>
      </c>
    </row>
    <row r="519" spans="1:9" x14ac:dyDescent="0.25">
      <c r="A519" s="6">
        <v>44482</v>
      </c>
      <c r="B519" s="1" t="s">
        <v>1049</v>
      </c>
      <c r="C519" s="3" t="str">
        <f>TRIM(CLEAN(PROPER(tblClean[[#This Row],[Transaction Description]])))</f>
        <v>Law Participant.</v>
      </c>
      <c r="D519" s="1" t="s">
        <v>27</v>
      </c>
      <c r="E519" s="3" t="str">
        <f>TRIM(CLEAN(PROPER(tblClean[[#This Row],[Category]])))</f>
        <v>Other</v>
      </c>
      <c r="F519" s="10" t="s">
        <v>1050</v>
      </c>
      <c r="G519" s="1" t="s">
        <v>18</v>
      </c>
      <c r="H519" s="15">
        <f>MONTH(tblClean[[#This Row],[Date]])</f>
        <v>10</v>
      </c>
      <c r="I519" s="15">
        <f>YEAR(tblClean[[#This Row],[Date]])</f>
        <v>2021</v>
      </c>
    </row>
    <row r="520" spans="1:9" x14ac:dyDescent="0.25">
      <c r="A520" s="6">
        <v>44482</v>
      </c>
      <c r="B520" s="1" t="s">
        <v>1053</v>
      </c>
      <c r="C520" s="3" t="str">
        <f>TRIM(CLEAN(PROPER(tblClean[[#This Row],[Transaction Description]])))</f>
        <v>Well Mission Situation Result.</v>
      </c>
      <c r="D520" s="1" t="s">
        <v>53</v>
      </c>
      <c r="E520" s="3" t="str">
        <f>TRIM(CLEAN(PROPER(tblClean[[#This Row],[Category]])))</f>
        <v>Travel</v>
      </c>
      <c r="F520" s="10" t="s">
        <v>1054</v>
      </c>
      <c r="G520" s="1" t="s">
        <v>8</v>
      </c>
      <c r="H520" s="15">
        <f>MONTH(tblClean[[#This Row],[Date]])</f>
        <v>10</v>
      </c>
      <c r="I520" s="15">
        <f>YEAR(tblClean[[#This Row],[Date]])</f>
        <v>2021</v>
      </c>
    </row>
    <row r="521" spans="1:9" x14ac:dyDescent="0.25">
      <c r="A521" s="7">
        <v>44485</v>
      </c>
      <c r="B521" s="2" t="s">
        <v>1055</v>
      </c>
      <c r="C521" s="4" t="str">
        <f>TRIM(CLEAN(PROPER(tblClean[[#This Row],[Transaction Description]])))</f>
        <v>Camera Sit Environmental Though.</v>
      </c>
      <c r="D521" s="2" t="s">
        <v>10</v>
      </c>
      <c r="E521" s="3" t="str">
        <f>TRIM(CLEAN(PROPER(tblClean[[#This Row],[Category]])))</f>
        <v>Utilities</v>
      </c>
      <c r="F521" s="11" t="s">
        <v>1056</v>
      </c>
      <c r="G521" s="2" t="s">
        <v>8</v>
      </c>
      <c r="H521" s="15">
        <f>MONTH(tblClean[[#This Row],[Date]])</f>
        <v>10</v>
      </c>
      <c r="I521" s="15">
        <f>YEAR(tblClean[[#This Row],[Date]])</f>
        <v>2021</v>
      </c>
    </row>
    <row r="522" spans="1:9" x14ac:dyDescent="0.25">
      <c r="A522" s="6">
        <v>44489</v>
      </c>
      <c r="B522" s="1" t="s">
        <v>1057</v>
      </c>
      <c r="C522" s="3" t="str">
        <f>TRIM(CLEAN(PROPER(tblClean[[#This Row],[Transaction Description]])))</f>
        <v>Southern Evening Ask Republican.</v>
      </c>
      <c r="D522" s="1" t="s">
        <v>13</v>
      </c>
      <c r="E522" s="3" t="str">
        <f>TRIM(CLEAN(PROPER(tblClean[[#This Row],[Category]])))</f>
        <v>Rent</v>
      </c>
      <c r="F522" s="10" t="s">
        <v>1058</v>
      </c>
      <c r="G522" s="1" t="s">
        <v>8</v>
      </c>
      <c r="H522" s="15">
        <f>MONTH(tblClean[[#This Row],[Date]])</f>
        <v>10</v>
      </c>
      <c r="I522" s="15">
        <f>YEAR(tblClean[[#This Row],[Date]])</f>
        <v>2021</v>
      </c>
    </row>
    <row r="523" spans="1:9" x14ac:dyDescent="0.25">
      <c r="A523" s="7">
        <v>44490</v>
      </c>
      <c r="B523" s="2" t="s">
        <v>1059</v>
      </c>
      <c r="C523" s="4" t="str">
        <f>TRIM(CLEAN(PROPER(tblClean[[#This Row],[Transaction Description]])))</f>
        <v>Baby Lawyer Growth Matter Note.</v>
      </c>
      <c r="D523" s="2" t="s">
        <v>30</v>
      </c>
      <c r="E523" s="3" t="str">
        <f>TRIM(CLEAN(PROPER(tblClean[[#This Row],[Category]])))</f>
        <v>Entertainment</v>
      </c>
      <c r="F523" s="11" t="s">
        <v>1060</v>
      </c>
      <c r="G523" s="2" t="s">
        <v>8</v>
      </c>
      <c r="H523" s="15">
        <f>MONTH(tblClean[[#This Row],[Date]])</f>
        <v>10</v>
      </c>
      <c r="I523" s="15">
        <f>YEAR(tblClean[[#This Row],[Date]])</f>
        <v>2021</v>
      </c>
    </row>
    <row r="524" spans="1:9" x14ac:dyDescent="0.25">
      <c r="A524" s="6">
        <v>44491</v>
      </c>
      <c r="B524" s="1" t="s">
        <v>1061</v>
      </c>
      <c r="C524" s="3" t="str">
        <f>TRIM(CLEAN(PROPER(tblClean[[#This Row],[Transaction Description]])))</f>
        <v>Effort Bill Off.</v>
      </c>
      <c r="D524" s="1" t="s">
        <v>27</v>
      </c>
      <c r="E524" s="3" t="str">
        <f>TRIM(CLEAN(PROPER(tblClean[[#This Row],[Category]])))</f>
        <v>Other</v>
      </c>
      <c r="F524" s="10" t="s">
        <v>1062</v>
      </c>
      <c r="G524" s="1" t="s">
        <v>18</v>
      </c>
      <c r="H524" s="15">
        <f>MONTH(tblClean[[#This Row],[Date]])</f>
        <v>10</v>
      </c>
      <c r="I524" s="15">
        <f>YEAR(tblClean[[#This Row],[Date]])</f>
        <v>2021</v>
      </c>
    </row>
    <row r="525" spans="1:9" x14ac:dyDescent="0.25">
      <c r="A525" s="6">
        <v>44493</v>
      </c>
      <c r="B525" s="1" t="s">
        <v>1065</v>
      </c>
      <c r="C525" s="3" t="str">
        <f>TRIM(CLEAN(PROPER(tblClean[[#This Row],[Transaction Description]])))</f>
        <v>Animal Hair Turn.</v>
      </c>
      <c r="D525" s="1" t="s">
        <v>27</v>
      </c>
      <c r="E525" s="3" t="str">
        <f>TRIM(CLEAN(PROPER(tblClean[[#This Row],[Category]])))</f>
        <v>Other</v>
      </c>
      <c r="F525" s="10" t="s">
        <v>1066</v>
      </c>
      <c r="G525" s="1" t="s">
        <v>18</v>
      </c>
      <c r="H525" s="15">
        <f>MONTH(tblClean[[#This Row],[Date]])</f>
        <v>10</v>
      </c>
      <c r="I525" s="15">
        <f>YEAR(tblClean[[#This Row],[Date]])</f>
        <v>2021</v>
      </c>
    </row>
    <row r="526" spans="1:9" x14ac:dyDescent="0.25">
      <c r="A526" s="7">
        <v>44493</v>
      </c>
      <c r="B526" s="2" t="s">
        <v>1063</v>
      </c>
      <c r="C526" s="4" t="str">
        <f>TRIM(CLEAN(PROPER(tblClean[[#This Row],[Transaction Description]])))</f>
        <v>Scientist Able Teach.</v>
      </c>
      <c r="D526" s="2" t="s">
        <v>10</v>
      </c>
      <c r="E526" s="3" t="str">
        <f>TRIM(CLEAN(PROPER(tblClean[[#This Row],[Category]])))</f>
        <v>Utilities</v>
      </c>
      <c r="F526" s="11" t="s">
        <v>1064</v>
      </c>
      <c r="G526" s="2" t="s">
        <v>8</v>
      </c>
      <c r="H526" s="15">
        <f>MONTH(tblClean[[#This Row],[Date]])</f>
        <v>10</v>
      </c>
      <c r="I526" s="15">
        <f>YEAR(tblClean[[#This Row],[Date]])</f>
        <v>2021</v>
      </c>
    </row>
    <row r="527" spans="1:9" x14ac:dyDescent="0.25">
      <c r="A527" s="6">
        <v>44496</v>
      </c>
      <c r="B527" s="1" t="s">
        <v>1069</v>
      </c>
      <c r="C527" s="3" t="str">
        <f>TRIM(CLEAN(PROPER(tblClean[[#This Row],[Transaction Description]])))</f>
        <v>Focus Indicate Result.</v>
      </c>
      <c r="D527" s="1" t="s">
        <v>13</v>
      </c>
      <c r="E527" s="3" t="str">
        <f>TRIM(CLEAN(PROPER(tblClean[[#This Row],[Category]])))</f>
        <v>Rent</v>
      </c>
      <c r="F527" s="10" t="s">
        <v>1070</v>
      </c>
      <c r="G527" s="1" t="s">
        <v>8</v>
      </c>
      <c r="H527" s="15">
        <f>MONTH(tblClean[[#This Row],[Date]])</f>
        <v>10</v>
      </c>
      <c r="I527" s="15">
        <f>YEAR(tblClean[[#This Row],[Date]])</f>
        <v>2021</v>
      </c>
    </row>
    <row r="528" spans="1:9" x14ac:dyDescent="0.25">
      <c r="A528" s="7">
        <v>44496</v>
      </c>
      <c r="B528" s="2" t="s">
        <v>1067</v>
      </c>
      <c r="C528" s="4" t="str">
        <f>TRIM(CLEAN(PROPER(tblClean[[#This Row],[Transaction Description]])))</f>
        <v>Need Trial.</v>
      </c>
      <c r="D528" s="2" t="s">
        <v>38</v>
      </c>
      <c r="E528" s="3" t="str">
        <f>TRIM(CLEAN(PROPER(tblClean[[#This Row],[Category]])))</f>
        <v>Salary</v>
      </c>
      <c r="F528" s="11" t="s">
        <v>1068</v>
      </c>
      <c r="G528" s="2" t="s">
        <v>8</v>
      </c>
      <c r="H528" s="15">
        <f>MONTH(tblClean[[#This Row],[Date]])</f>
        <v>10</v>
      </c>
      <c r="I528" s="15">
        <f>YEAR(tblClean[[#This Row],[Date]])</f>
        <v>2021</v>
      </c>
    </row>
    <row r="529" spans="1:9" x14ac:dyDescent="0.25">
      <c r="A529" s="7">
        <v>44499</v>
      </c>
      <c r="B529" s="2" t="s">
        <v>1071</v>
      </c>
      <c r="C529" s="4" t="str">
        <f>TRIM(CLEAN(PROPER(tblClean[[#This Row],[Transaction Description]])))</f>
        <v>Number Budget.</v>
      </c>
      <c r="D529" s="2" t="s">
        <v>13</v>
      </c>
      <c r="E529" s="3" t="str">
        <f>TRIM(CLEAN(PROPER(tblClean[[#This Row],[Category]])))</f>
        <v>Rent</v>
      </c>
      <c r="F529" s="11" t="s">
        <v>1072</v>
      </c>
      <c r="G529" s="2" t="s">
        <v>8</v>
      </c>
      <c r="H529" s="15">
        <f>MONTH(tblClean[[#This Row],[Date]])</f>
        <v>10</v>
      </c>
      <c r="I529" s="15">
        <f>YEAR(tblClean[[#This Row],[Date]])</f>
        <v>2021</v>
      </c>
    </row>
    <row r="530" spans="1:9" x14ac:dyDescent="0.25">
      <c r="A530" s="6">
        <v>44503</v>
      </c>
      <c r="B530" s="1" t="s">
        <v>1073</v>
      </c>
      <c r="C530" s="3" t="str">
        <f>TRIM(CLEAN(PROPER(tblClean[[#This Row],[Transaction Description]])))</f>
        <v>Development Middle Animal.</v>
      </c>
      <c r="D530" s="1" t="s">
        <v>35</v>
      </c>
      <c r="E530" s="3" t="str">
        <f>TRIM(CLEAN(PROPER(tblClean[[#This Row],[Category]])))</f>
        <v>Health &amp; Fitness</v>
      </c>
      <c r="F530" s="10" t="s">
        <v>1074</v>
      </c>
      <c r="G530" s="1" t="s">
        <v>8</v>
      </c>
      <c r="H530" s="15">
        <f>MONTH(tblClean[[#This Row],[Date]])</f>
        <v>11</v>
      </c>
      <c r="I530" s="15">
        <f>YEAR(tblClean[[#This Row],[Date]])</f>
        <v>2021</v>
      </c>
    </row>
    <row r="531" spans="1:9" x14ac:dyDescent="0.25">
      <c r="A531" s="7">
        <v>44504</v>
      </c>
      <c r="B531" s="2" t="s">
        <v>1075</v>
      </c>
      <c r="C531" s="4" t="str">
        <f>TRIM(CLEAN(PROPER(tblClean[[#This Row],[Transaction Description]])))</f>
        <v>Theory Tend.</v>
      </c>
      <c r="D531" s="2" t="s">
        <v>10</v>
      </c>
      <c r="E531" s="3" t="str">
        <f>TRIM(CLEAN(PROPER(tblClean[[#This Row],[Category]])))</f>
        <v>Utilities</v>
      </c>
      <c r="F531" s="11" t="s">
        <v>1076</v>
      </c>
      <c r="G531" s="2" t="s">
        <v>8</v>
      </c>
      <c r="H531" s="15">
        <f>MONTH(tblClean[[#This Row],[Date]])</f>
        <v>11</v>
      </c>
      <c r="I531" s="15">
        <f>YEAR(tblClean[[#This Row],[Date]])</f>
        <v>2021</v>
      </c>
    </row>
    <row r="532" spans="1:9" x14ac:dyDescent="0.25">
      <c r="A532" s="6">
        <v>44505</v>
      </c>
      <c r="B532" s="1" t="s">
        <v>1077</v>
      </c>
      <c r="C532" s="3" t="str">
        <f>TRIM(CLEAN(PROPER(tblClean[[#This Row],[Transaction Description]])))</f>
        <v>Beat Lead Hard Factor.</v>
      </c>
      <c r="D532" s="1" t="s">
        <v>16</v>
      </c>
      <c r="E532" s="3" t="str">
        <f>TRIM(CLEAN(PROPER(tblClean[[#This Row],[Category]])))</f>
        <v>Investment</v>
      </c>
      <c r="F532" s="10" t="s">
        <v>1078</v>
      </c>
      <c r="G532" s="1" t="s">
        <v>18</v>
      </c>
      <c r="H532" s="15">
        <f>MONTH(tblClean[[#This Row],[Date]])</f>
        <v>11</v>
      </c>
      <c r="I532" s="15">
        <f>YEAR(tblClean[[#This Row],[Date]])</f>
        <v>2021</v>
      </c>
    </row>
    <row r="533" spans="1:9" x14ac:dyDescent="0.25">
      <c r="A533" s="7">
        <v>44505</v>
      </c>
      <c r="B533" s="2" t="s">
        <v>1079</v>
      </c>
      <c r="C533" s="4" t="str">
        <f>TRIM(CLEAN(PROPER(tblClean[[#This Row],[Transaction Description]])))</f>
        <v>Drug Happy Will Young Simply.</v>
      </c>
      <c r="D533" s="2" t="s">
        <v>53</v>
      </c>
      <c r="E533" s="3" t="str">
        <f>TRIM(CLEAN(PROPER(tblClean[[#This Row],[Category]])))</f>
        <v>Travel</v>
      </c>
      <c r="F533" s="11" t="s">
        <v>1080</v>
      </c>
      <c r="G533" s="2" t="s">
        <v>8</v>
      </c>
      <c r="H533" s="15">
        <f>MONTH(tblClean[[#This Row],[Date]])</f>
        <v>11</v>
      </c>
      <c r="I533" s="15">
        <f>YEAR(tblClean[[#This Row],[Date]])</f>
        <v>2021</v>
      </c>
    </row>
    <row r="534" spans="1:9" x14ac:dyDescent="0.25">
      <c r="A534" s="6">
        <v>44506</v>
      </c>
      <c r="B534" s="1" t="s">
        <v>1081</v>
      </c>
      <c r="C534" s="3" t="str">
        <f>TRIM(CLEAN(PROPER(tblClean[[#This Row],[Transaction Description]])))</f>
        <v>Character Usually Agency.</v>
      </c>
      <c r="D534" s="1" t="s">
        <v>30</v>
      </c>
      <c r="E534" s="3" t="str">
        <f>TRIM(CLEAN(PROPER(tblClean[[#This Row],[Category]])))</f>
        <v>Entertainment</v>
      </c>
      <c r="F534" s="10" t="s">
        <v>1082</v>
      </c>
      <c r="G534" s="1" t="s">
        <v>8</v>
      </c>
      <c r="H534" s="15">
        <f>MONTH(tblClean[[#This Row],[Date]])</f>
        <v>11</v>
      </c>
      <c r="I534" s="15">
        <f>YEAR(tblClean[[#This Row],[Date]])</f>
        <v>2021</v>
      </c>
    </row>
    <row r="535" spans="1:9" x14ac:dyDescent="0.25">
      <c r="A535" s="7">
        <v>44507</v>
      </c>
      <c r="B535" s="2" t="s">
        <v>1083</v>
      </c>
      <c r="C535" s="4" t="str">
        <f>TRIM(CLEAN(PROPER(tblClean[[#This Row],[Transaction Description]])))</f>
        <v>Player Really Act Friend.</v>
      </c>
      <c r="D535" s="2" t="s">
        <v>53</v>
      </c>
      <c r="E535" s="3" t="str">
        <f>TRIM(CLEAN(PROPER(tblClean[[#This Row],[Category]])))</f>
        <v>Travel</v>
      </c>
      <c r="F535" s="11" t="s">
        <v>1084</v>
      </c>
      <c r="G535" s="2" t="s">
        <v>8</v>
      </c>
      <c r="H535" s="15">
        <f>MONTH(tblClean[[#This Row],[Date]])</f>
        <v>11</v>
      </c>
      <c r="I535" s="15">
        <f>YEAR(tblClean[[#This Row],[Date]])</f>
        <v>2021</v>
      </c>
    </row>
    <row r="536" spans="1:9" x14ac:dyDescent="0.25">
      <c r="A536" s="6">
        <v>44510</v>
      </c>
      <c r="B536" s="1" t="s">
        <v>1085</v>
      </c>
      <c r="C536" s="3" t="str">
        <f>TRIM(CLEAN(PROPER(tblClean[[#This Row],[Transaction Description]])))</f>
        <v>Billion Morning Draw.</v>
      </c>
      <c r="D536" s="1" t="s">
        <v>53</v>
      </c>
      <c r="E536" s="3" t="str">
        <f>TRIM(CLEAN(PROPER(tblClean[[#This Row],[Category]])))</f>
        <v>Travel</v>
      </c>
      <c r="F536" s="10" t="s">
        <v>1086</v>
      </c>
      <c r="G536" s="1" t="s">
        <v>8</v>
      </c>
      <c r="H536" s="15">
        <f>MONTH(tblClean[[#This Row],[Date]])</f>
        <v>11</v>
      </c>
      <c r="I536" s="15">
        <f>YEAR(tblClean[[#This Row],[Date]])</f>
        <v>2021</v>
      </c>
    </row>
    <row r="537" spans="1:9" x14ac:dyDescent="0.25">
      <c r="A537" s="7">
        <v>44515</v>
      </c>
      <c r="B537" s="2" t="s">
        <v>1087</v>
      </c>
      <c r="C537" s="4" t="str">
        <f>TRIM(CLEAN(PROPER(tblClean[[#This Row],[Transaction Description]])))</f>
        <v>Win Central.</v>
      </c>
      <c r="D537" s="2" t="s">
        <v>13</v>
      </c>
      <c r="E537" s="3" t="str">
        <f>TRIM(CLEAN(PROPER(tblClean[[#This Row],[Category]])))</f>
        <v>Rent</v>
      </c>
      <c r="F537" s="11" t="s">
        <v>1088</v>
      </c>
      <c r="G537" s="2" t="s">
        <v>8</v>
      </c>
      <c r="H537" s="15">
        <f>MONTH(tblClean[[#This Row],[Date]])</f>
        <v>11</v>
      </c>
      <c r="I537" s="15">
        <f>YEAR(tblClean[[#This Row],[Date]])</f>
        <v>2021</v>
      </c>
    </row>
    <row r="538" spans="1:9" x14ac:dyDescent="0.25">
      <c r="A538" s="6">
        <v>44516</v>
      </c>
      <c r="B538" s="1" t="s">
        <v>1089</v>
      </c>
      <c r="C538" s="3" t="str">
        <f>TRIM(CLEAN(PROPER(tblClean[[#This Row],[Transaction Description]])))</f>
        <v>Analysis Discuss.</v>
      </c>
      <c r="D538" s="1" t="s">
        <v>16</v>
      </c>
      <c r="E538" s="3" t="str">
        <f>TRIM(CLEAN(PROPER(tblClean[[#This Row],[Category]])))</f>
        <v>Investment</v>
      </c>
      <c r="F538" s="10" t="s">
        <v>1090</v>
      </c>
      <c r="G538" s="1" t="s">
        <v>18</v>
      </c>
      <c r="H538" s="15">
        <f>MONTH(tblClean[[#This Row],[Date]])</f>
        <v>11</v>
      </c>
      <c r="I538" s="15">
        <f>YEAR(tblClean[[#This Row],[Date]])</f>
        <v>2021</v>
      </c>
    </row>
    <row r="539" spans="1:9" x14ac:dyDescent="0.25">
      <c r="A539" s="7">
        <v>44517</v>
      </c>
      <c r="B539" s="2" t="s">
        <v>1091</v>
      </c>
      <c r="C539" s="4" t="str">
        <f>TRIM(CLEAN(PROPER(tblClean[[#This Row],[Transaction Description]])))</f>
        <v>Red Head Window Be.</v>
      </c>
      <c r="D539" s="2" t="s">
        <v>35</v>
      </c>
      <c r="E539" s="3" t="str">
        <f>TRIM(CLEAN(PROPER(tblClean[[#This Row],[Category]])))</f>
        <v>Health &amp; Fitness</v>
      </c>
      <c r="F539" s="11" t="s">
        <v>1092</v>
      </c>
      <c r="G539" s="2" t="s">
        <v>8</v>
      </c>
      <c r="H539" s="15">
        <f>MONTH(tblClean[[#This Row],[Date]])</f>
        <v>11</v>
      </c>
      <c r="I539" s="15">
        <f>YEAR(tblClean[[#This Row],[Date]])</f>
        <v>2021</v>
      </c>
    </row>
    <row r="540" spans="1:9" x14ac:dyDescent="0.25">
      <c r="A540" s="6">
        <v>44518</v>
      </c>
      <c r="B540" s="1" t="s">
        <v>1093</v>
      </c>
      <c r="C540" s="3" t="str">
        <f>TRIM(CLEAN(PROPER(tblClean[[#This Row],[Transaction Description]])))</f>
        <v>Card Star Avoid Nothing.</v>
      </c>
      <c r="D540" s="1" t="s">
        <v>6</v>
      </c>
      <c r="E540" s="3" t="str">
        <f>TRIM(CLEAN(PROPER(tblClean[[#This Row],[Category]])))</f>
        <v>Food &amp; Drink</v>
      </c>
      <c r="F540" s="10" t="s">
        <v>1094</v>
      </c>
      <c r="G540" s="1" t="s">
        <v>8</v>
      </c>
      <c r="H540" s="15">
        <f>MONTH(tblClean[[#This Row],[Date]])</f>
        <v>11</v>
      </c>
      <c r="I540" s="15">
        <f>YEAR(tblClean[[#This Row],[Date]])</f>
        <v>2021</v>
      </c>
    </row>
    <row r="541" spans="1:9" x14ac:dyDescent="0.25">
      <c r="A541" s="7">
        <v>44518</v>
      </c>
      <c r="B541" s="2" t="s">
        <v>1095</v>
      </c>
      <c r="C541" s="4" t="str">
        <f>TRIM(CLEAN(PROPER(tblClean[[#This Row],[Transaction Description]])))</f>
        <v>Door End Fire.</v>
      </c>
      <c r="D541" s="2" t="s">
        <v>53</v>
      </c>
      <c r="E541" s="3" t="str">
        <f>TRIM(CLEAN(PROPER(tblClean[[#This Row],[Category]])))</f>
        <v>Travel</v>
      </c>
      <c r="F541" s="11" t="s">
        <v>1096</v>
      </c>
      <c r="G541" s="2" t="s">
        <v>8</v>
      </c>
      <c r="H541" s="15">
        <f>MONTH(tblClean[[#This Row],[Date]])</f>
        <v>11</v>
      </c>
      <c r="I541" s="15">
        <f>YEAR(tblClean[[#This Row],[Date]])</f>
        <v>2021</v>
      </c>
    </row>
    <row r="542" spans="1:9" x14ac:dyDescent="0.25">
      <c r="A542" s="6">
        <v>44519</v>
      </c>
      <c r="B542" s="1" t="s">
        <v>1097</v>
      </c>
      <c r="C542" s="3" t="str">
        <f>TRIM(CLEAN(PROPER(tblClean[[#This Row],[Transaction Description]])))</f>
        <v>Fish Evening Avoid Dark.</v>
      </c>
      <c r="D542" s="1" t="s">
        <v>22</v>
      </c>
      <c r="E542" s="3" t="str">
        <f>TRIM(CLEAN(PROPER(tblClean[[#This Row],[Category]])))</f>
        <v>Shopping</v>
      </c>
      <c r="F542" s="10" t="s">
        <v>1098</v>
      </c>
      <c r="G542" s="1" t="s">
        <v>8</v>
      </c>
      <c r="H542" s="15">
        <f>MONTH(tblClean[[#This Row],[Date]])</f>
        <v>11</v>
      </c>
      <c r="I542" s="15">
        <f>YEAR(tblClean[[#This Row],[Date]])</f>
        <v>2021</v>
      </c>
    </row>
    <row r="543" spans="1:9" x14ac:dyDescent="0.25">
      <c r="A543" s="7">
        <v>44521</v>
      </c>
      <c r="B543" s="2" t="s">
        <v>1103</v>
      </c>
      <c r="C543" s="4" t="str">
        <f>TRIM(CLEAN(PROPER(tblClean[[#This Row],[Transaction Description]])))</f>
        <v>Enter Build Citizen Rather.</v>
      </c>
      <c r="D543" s="2" t="s">
        <v>16</v>
      </c>
      <c r="E543" s="3" t="str">
        <f>TRIM(CLEAN(PROPER(tblClean[[#This Row],[Category]])))</f>
        <v>Investment</v>
      </c>
      <c r="F543" s="11" t="s">
        <v>1104</v>
      </c>
      <c r="G543" s="2" t="s">
        <v>18</v>
      </c>
      <c r="H543" s="15">
        <f>MONTH(tblClean[[#This Row],[Date]])</f>
        <v>11</v>
      </c>
      <c r="I543" s="15">
        <f>YEAR(tblClean[[#This Row],[Date]])</f>
        <v>2021</v>
      </c>
    </row>
    <row r="544" spans="1:9" x14ac:dyDescent="0.25">
      <c r="A544" s="7">
        <v>44521</v>
      </c>
      <c r="B544" s="2" t="s">
        <v>1099</v>
      </c>
      <c r="C544" s="4" t="str">
        <f>TRIM(CLEAN(PROPER(tblClean[[#This Row],[Transaction Description]])))</f>
        <v>Choice Clearly.</v>
      </c>
      <c r="D544" s="2" t="s">
        <v>27</v>
      </c>
      <c r="E544" s="3" t="str">
        <f>TRIM(CLEAN(PROPER(tblClean[[#This Row],[Category]])))</f>
        <v>Other</v>
      </c>
      <c r="F544" s="11" t="s">
        <v>1100</v>
      </c>
      <c r="G544" s="2" t="s">
        <v>18</v>
      </c>
      <c r="H544" s="15">
        <f>MONTH(tblClean[[#This Row],[Date]])</f>
        <v>11</v>
      </c>
      <c r="I544" s="15">
        <f>YEAR(tblClean[[#This Row],[Date]])</f>
        <v>2021</v>
      </c>
    </row>
    <row r="545" spans="1:9" x14ac:dyDescent="0.25">
      <c r="A545" s="6">
        <v>44521</v>
      </c>
      <c r="B545" s="1" t="s">
        <v>1101</v>
      </c>
      <c r="C545" s="3" t="str">
        <f>TRIM(CLEAN(PROPER(tblClean[[#This Row],[Transaction Description]])))</f>
        <v>Image Movie Who Debate.</v>
      </c>
      <c r="D545" s="1" t="s">
        <v>22</v>
      </c>
      <c r="E545" s="3" t="str">
        <f>TRIM(CLEAN(PROPER(tblClean[[#This Row],[Category]])))</f>
        <v>Shopping</v>
      </c>
      <c r="F545" s="10" t="s">
        <v>1102</v>
      </c>
      <c r="G545" s="1" t="s">
        <v>8</v>
      </c>
      <c r="H545" s="15">
        <f>MONTH(tblClean[[#This Row],[Date]])</f>
        <v>11</v>
      </c>
      <c r="I545" s="15">
        <f>YEAR(tblClean[[#This Row],[Date]])</f>
        <v>2021</v>
      </c>
    </row>
    <row r="546" spans="1:9" x14ac:dyDescent="0.25">
      <c r="A546" s="6">
        <v>44523</v>
      </c>
      <c r="B546" s="1" t="s">
        <v>1105</v>
      </c>
      <c r="C546" s="3" t="str">
        <f>TRIM(CLEAN(PROPER(tblClean[[#This Row],[Transaction Description]])))</f>
        <v>Structure Foreign Before.</v>
      </c>
      <c r="D546" s="1" t="s">
        <v>38</v>
      </c>
      <c r="E546" s="3" t="str">
        <f>TRIM(CLEAN(PROPER(tblClean[[#This Row],[Category]])))</f>
        <v>Salary</v>
      </c>
      <c r="F546" s="10" t="s">
        <v>1106</v>
      </c>
      <c r="G546" s="1" t="s">
        <v>8</v>
      </c>
      <c r="H546" s="15">
        <f>MONTH(tblClean[[#This Row],[Date]])</f>
        <v>11</v>
      </c>
      <c r="I546" s="15">
        <f>YEAR(tblClean[[#This Row],[Date]])</f>
        <v>2021</v>
      </c>
    </row>
    <row r="547" spans="1:9" x14ac:dyDescent="0.25">
      <c r="A547" s="7">
        <v>44526</v>
      </c>
      <c r="B547" s="2" t="s">
        <v>1107</v>
      </c>
      <c r="C547" s="4" t="str">
        <f>TRIM(CLEAN(PROPER(tblClean[[#This Row],[Transaction Description]])))</f>
        <v>How Any Federal Star.</v>
      </c>
      <c r="D547" s="2" t="s">
        <v>10</v>
      </c>
      <c r="E547" s="3" t="str">
        <f>TRIM(CLEAN(PROPER(tblClean[[#This Row],[Category]])))</f>
        <v>Utilities</v>
      </c>
      <c r="F547" s="11" t="s">
        <v>1108</v>
      </c>
      <c r="G547" s="2" t="s">
        <v>8</v>
      </c>
      <c r="H547" s="15">
        <f>MONTH(tblClean[[#This Row],[Date]])</f>
        <v>11</v>
      </c>
      <c r="I547" s="15">
        <f>YEAR(tblClean[[#This Row],[Date]])</f>
        <v>2021</v>
      </c>
    </row>
    <row r="548" spans="1:9" x14ac:dyDescent="0.25">
      <c r="A548" s="6">
        <v>44527</v>
      </c>
      <c r="B548" s="1" t="s">
        <v>1109</v>
      </c>
      <c r="C548" s="3" t="str">
        <f>TRIM(CLEAN(PROPER(tblClean[[#This Row],[Transaction Description]])))</f>
        <v>Weight Take.</v>
      </c>
      <c r="D548" s="1" t="s">
        <v>35</v>
      </c>
      <c r="E548" s="3" t="str">
        <f>TRIM(CLEAN(PROPER(tblClean[[#This Row],[Category]])))</f>
        <v>Health &amp; Fitness</v>
      </c>
      <c r="F548" s="10" t="s">
        <v>1110</v>
      </c>
      <c r="G548" s="1" t="s">
        <v>8</v>
      </c>
      <c r="H548" s="15">
        <f>MONTH(tblClean[[#This Row],[Date]])</f>
        <v>11</v>
      </c>
      <c r="I548" s="15">
        <f>YEAR(tblClean[[#This Row],[Date]])</f>
        <v>2021</v>
      </c>
    </row>
    <row r="549" spans="1:9" x14ac:dyDescent="0.25">
      <c r="A549" s="7">
        <v>44528</v>
      </c>
      <c r="B549" s="2" t="s">
        <v>1111</v>
      </c>
      <c r="C549" s="4" t="str">
        <f>TRIM(CLEAN(PROPER(tblClean[[#This Row],[Transaction Description]])))</f>
        <v>Economic Left Sound Cause Activity.</v>
      </c>
      <c r="D549" s="2" t="s">
        <v>27</v>
      </c>
      <c r="E549" s="3" t="str">
        <f>TRIM(CLEAN(PROPER(tblClean[[#This Row],[Category]])))</f>
        <v>Other</v>
      </c>
      <c r="F549" s="11" t="s">
        <v>1112</v>
      </c>
      <c r="G549" s="2" t="s">
        <v>18</v>
      </c>
      <c r="H549" s="15">
        <f>MONTH(tblClean[[#This Row],[Date]])</f>
        <v>11</v>
      </c>
      <c r="I549" s="15">
        <f>YEAR(tblClean[[#This Row],[Date]])</f>
        <v>2021</v>
      </c>
    </row>
    <row r="550" spans="1:9" x14ac:dyDescent="0.25">
      <c r="A550" s="6">
        <v>44531</v>
      </c>
      <c r="B550" s="1" t="s">
        <v>1113</v>
      </c>
      <c r="C550" s="3" t="str">
        <f>TRIM(CLEAN(PROPER(tblClean[[#This Row],[Transaction Description]])))</f>
        <v>Cup Hundred Rather.</v>
      </c>
      <c r="D550" s="1" t="s">
        <v>35</v>
      </c>
      <c r="E550" s="3" t="str">
        <f>TRIM(CLEAN(PROPER(tblClean[[#This Row],[Category]])))</f>
        <v>Health &amp; Fitness</v>
      </c>
      <c r="F550" s="10" t="s">
        <v>1114</v>
      </c>
      <c r="G550" s="1" t="s">
        <v>8</v>
      </c>
      <c r="H550" s="15">
        <f>MONTH(tblClean[[#This Row],[Date]])</f>
        <v>12</v>
      </c>
      <c r="I550" s="15">
        <f>YEAR(tblClean[[#This Row],[Date]])</f>
        <v>2021</v>
      </c>
    </row>
    <row r="551" spans="1:9" x14ac:dyDescent="0.25">
      <c r="A551" s="7">
        <v>44532</v>
      </c>
      <c r="B551" s="2" t="s">
        <v>1115</v>
      </c>
      <c r="C551" s="4" t="str">
        <f>TRIM(CLEAN(PROPER(tblClean[[#This Row],[Transaction Description]])))</f>
        <v>Only True Avoid Young Cup.</v>
      </c>
      <c r="D551" s="2" t="s">
        <v>27</v>
      </c>
      <c r="E551" s="3" t="str">
        <f>TRIM(CLEAN(PROPER(tblClean[[#This Row],[Category]])))</f>
        <v>Other</v>
      </c>
      <c r="F551" s="11" t="s">
        <v>1116</v>
      </c>
      <c r="G551" s="2" t="s">
        <v>18</v>
      </c>
      <c r="H551" s="15">
        <f>MONTH(tblClean[[#This Row],[Date]])</f>
        <v>12</v>
      </c>
      <c r="I551" s="15">
        <f>YEAR(tblClean[[#This Row],[Date]])</f>
        <v>2021</v>
      </c>
    </row>
    <row r="552" spans="1:9" x14ac:dyDescent="0.25">
      <c r="A552" s="6">
        <v>44533</v>
      </c>
      <c r="B552" s="1" t="s">
        <v>1117</v>
      </c>
      <c r="C552" s="3" t="str">
        <f>TRIM(CLEAN(PROPER(tblClean[[#This Row],[Transaction Description]])))</f>
        <v>Begin Suggest Speak.</v>
      </c>
      <c r="D552" s="1" t="s">
        <v>16</v>
      </c>
      <c r="E552" s="3" t="str">
        <f>TRIM(CLEAN(PROPER(tblClean[[#This Row],[Category]])))</f>
        <v>Investment</v>
      </c>
      <c r="F552" s="10" t="s">
        <v>1118</v>
      </c>
      <c r="G552" s="1" t="s">
        <v>18</v>
      </c>
      <c r="H552" s="15">
        <f>MONTH(tblClean[[#This Row],[Date]])</f>
        <v>12</v>
      </c>
      <c r="I552" s="15">
        <f>YEAR(tblClean[[#This Row],[Date]])</f>
        <v>2021</v>
      </c>
    </row>
    <row r="553" spans="1:9" x14ac:dyDescent="0.25">
      <c r="A553" s="7">
        <v>44533</v>
      </c>
      <c r="B553" s="2" t="s">
        <v>1119</v>
      </c>
      <c r="C553" s="4" t="str">
        <f>TRIM(CLEAN(PROPER(tblClean[[#This Row],[Transaction Description]])))</f>
        <v>Walk Anything.</v>
      </c>
      <c r="D553" s="2" t="s">
        <v>22</v>
      </c>
      <c r="E553" s="3" t="str">
        <f>TRIM(CLEAN(PROPER(tblClean[[#This Row],[Category]])))</f>
        <v>Shopping</v>
      </c>
      <c r="F553" s="11" t="s">
        <v>1120</v>
      </c>
      <c r="G553" s="2" t="s">
        <v>8</v>
      </c>
      <c r="H553" s="15">
        <f>MONTH(tblClean[[#This Row],[Date]])</f>
        <v>12</v>
      </c>
      <c r="I553" s="15">
        <f>YEAR(tblClean[[#This Row],[Date]])</f>
        <v>2021</v>
      </c>
    </row>
    <row r="554" spans="1:9" x14ac:dyDescent="0.25">
      <c r="A554" s="6">
        <v>44538</v>
      </c>
      <c r="B554" s="1" t="s">
        <v>1121</v>
      </c>
      <c r="C554" s="3" t="str">
        <f>TRIM(CLEAN(PROPER(tblClean[[#This Row],[Transaction Description]])))</f>
        <v>Start House Ahead Raise.</v>
      </c>
      <c r="D554" s="1" t="s">
        <v>10</v>
      </c>
      <c r="E554" s="3" t="str">
        <f>TRIM(CLEAN(PROPER(tblClean[[#This Row],[Category]])))</f>
        <v>Utilities</v>
      </c>
      <c r="F554" s="10" t="s">
        <v>1122</v>
      </c>
      <c r="G554" s="1" t="s">
        <v>8</v>
      </c>
      <c r="H554" s="15">
        <f>MONTH(tblClean[[#This Row],[Date]])</f>
        <v>12</v>
      </c>
      <c r="I554" s="15">
        <f>YEAR(tblClean[[#This Row],[Date]])</f>
        <v>2021</v>
      </c>
    </row>
    <row r="555" spans="1:9" x14ac:dyDescent="0.25">
      <c r="A555" s="7">
        <v>44539</v>
      </c>
      <c r="B555" s="2" t="s">
        <v>1123</v>
      </c>
      <c r="C555" s="4" t="str">
        <f>TRIM(CLEAN(PROPER(tblClean[[#This Row],[Transaction Description]])))</f>
        <v>Democrat Cost Evidence Third.</v>
      </c>
      <c r="D555" s="2" t="s">
        <v>35</v>
      </c>
      <c r="E555" s="3" t="str">
        <f>TRIM(CLEAN(PROPER(tblClean[[#This Row],[Category]])))</f>
        <v>Health &amp; Fitness</v>
      </c>
      <c r="F555" s="11" t="s">
        <v>1124</v>
      </c>
      <c r="G555" s="2" t="s">
        <v>8</v>
      </c>
      <c r="H555" s="15">
        <f>MONTH(tblClean[[#This Row],[Date]])</f>
        <v>12</v>
      </c>
      <c r="I555" s="15">
        <f>YEAR(tblClean[[#This Row],[Date]])</f>
        <v>2021</v>
      </c>
    </row>
    <row r="556" spans="1:9" x14ac:dyDescent="0.25">
      <c r="A556" s="6">
        <v>44539</v>
      </c>
      <c r="B556" s="1" t="s">
        <v>1125</v>
      </c>
      <c r="C556" s="3" t="str">
        <f>TRIM(CLEAN(PROPER(tblClean[[#This Row],[Transaction Description]])))</f>
        <v>People Early Far Include Nearly.</v>
      </c>
      <c r="D556" s="1" t="s">
        <v>27</v>
      </c>
      <c r="E556" s="3" t="str">
        <f>TRIM(CLEAN(PROPER(tblClean[[#This Row],[Category]])))</f>
        <v>Other</v>
      </c>
      <c r="F556" s="10" t="s">
        <v>1126</v>
      </c>
      <c r="G556" s="1" t="s">
        <v>18</v>
      </c>
      <c r="H556" s="15">
        <f>MONTH(tblClean[[#This Row],[Date]])</f>
        <v>12</v>
      </c>
      <c r="I556" s="15">
        <f>YEAR(tblClean[[#This Row],[Date]])</f>
        <v>2021</v>
      </c>
    </row>
    <row r="557" spans="1:9" x14ac:dyDescent="0.25">
      <c r="A557" s="7">
        <v>44541</v>
      </c>
      <c r="B557" s="2" t="s">
        <v>1127</v>
      </c>
      <c r="C557" s="4" t="str">
        <f>TRIM(CLEAN(PROPER(tblClean[[#This Row],[Transaction Description]])))</f>
        <v>Evidence Case.</v>
      </c>
      <c r="D557" s="2" t="s">
        <v>38</v>
      </c>
      <c r="E557" s="3" t="str">
        <f>TRIM(CLEAN(PROPER(tblClean[[#This Row],[Category]])))</f>
        <v>Salary</v>
      </c>
      <c r="F557" s="11" t="s">
        <v>1128</v>
      </c>
      <c r="G557" s="2" t="s">
        <v>8</v>
      </c>
      <c r="H557" s="15">
        <f>MONTH(tblClean[[#This Row],[Date]])</f>
        <v>12</v>
      </c>
      <c r="I557" s="15">
        <f>YEAR(tblClean[[#This Row],[Date]])</f>
        <v>2021</v>
      </c>
    </row>
    <row r="558" spans="1:9" x14ac:dyDescent="0.25">
      <c r="A558" s="6">
        <v>44542</v>
      </c>
      <c r="B558" s="1" t="s">
        <v>1129</v>
      </c>
      <c r="C558" s="3" t="str">
        <f>TRIM(CLEAN(PROPER(tblClean[[#This Row],[Transaction Description]])))</f>
        <v>Eat Yes Myself Affect Him.</v>
      </c>
      <c r="D558" s="1" t="s">
        <v>38</v>
      </c>
      <c r="E558" s="3" t="str">
        <f>TRIM(CLEAN(PROPER(tblClean[[#This Row],[Category]])))</f>
        <v>Salary</v>
      </c>
      <c r="F558" s="10" t="s">
        <v>1130</v>
      </c>
      <c r="G558" s="1" t="s">
        <v>8</v>
      </c>
      <c r="H558" s="15">
        <f>MONTH(tblClean[[#This Row],[Date]])</f>
        <v>12</v>
      </c>
      <c r="I558" s="15">
        <f>YEAR(tblClean[[#This Row],[Date]])</f>
        <v>2021</v>
      </c>
    </row>
    <row r="559" spans="1:9" x14ac:dyDescent="0.25">
      <c r="A559" s="7">
        <v>44543</v>
      </c>
      <c r="B559" s="2" t="s">
        <v>1131</v>
      </c>
      <c r="C559" s="4" t="str">
        <f>TRIM(CLEAN(PROPER(tblClean[[#This Row],[Transaction Description]])))</f>
        <v>Name Machine Tree Maybe.</v>
      </c>
      <c r="D559" s="2" t="s">
        <v>35</v>
      </c>
      <c r="E559" s="3" t="str">
        <f>TRIM(CLEAN(PROPER(tblClean[[#This Row],[Category]])))</f>
        <v>Health &amp; Fitness</v>
      </c>
      <c r="F559" s="11" t="s">
        <v>1132</v>
      </c>
      <c r="G559" s="2" t="s">
        <v>8</v>
      </c>
      <c r="H559" s="15">
        <f>MONTH(tblClean[[#This Row],[Date]])</f>
        <v>12</v>
      </c>
      <c r="I559" s="15">
        <f>YEAR(tblClean[[#This Row],[Date]])</f>
        <v>2021</v>
      </c>
    </row>
    <row r="560" spans="1:9" x14ac:dyDescent="0.25">
      <c r="A560" s="6">
        <v>44543</v>
      </c>
      <c r="B560" s="1" t="s">
        <v>1133</v>
      </c>
      <c r="C560" s="3" t="str">
        <f>TRIM(CLEAN(PROPER(tblClean[[#This Row],[Transaction Description]])))</f>
        <v>Conference Five Despite.</v>
      </c>
      <c r="D560" s="1" t="s">
        <v>38</v>
      </c>
      <c r="E560" s="3" t="str">
        <f>TRIM(CLEAN(PROPER(tblClean[[#This Row],[Category]])))</f>
        <v>Salary</v>
      </c>
      <c r="F560" s="10" t="s">
        <v>1134</v>
      </c>
      <c r="G560" s="1" t="s">
        <v>8</v>
      </c>
      <c r="H560" s="15">
        <f>MONTH(tblClean[[#This Row],[Date]])</f>
        <v>12</v>
      </c>
      <c r="I560" s="15">
        <f>YEAR(tblClean[[#This Row],[Date]])</f>
        <v>2021</v>
      </c>
    </row>
    <row r="561" spans="1:9" x14ac:dyDescent="0.25">
      <c r="A561" s="7">
        <v>44545</v>
      </c>
      <c r="B561" s="2" t="s">
        <v>1135</v>
      </c>
      <c r="C561" s="4" t="str">
        <f>TRIM(CLEAN(PROPER(tblClean[[#This Row],[Transaction Description]])))</f>
        <v>Speak Line.</v>
      </c>
      <c r="D561" s="2" t="s">
        <v>16</v>
      </c>
      <c r="E561" s="3" t="str">
        <f>TRIM(CLEAN(PROPER(tblClean[[#This Row],[Category]])))</f>
        <v>Investment</v>
      </c>
      <c r="F561" s="11" t="s">
        <v>1136</v>
      </c>
      <c r="G561" s="2" t="s">
        <v>18</v>
      </c>
      <c r="H561" s="15">
        <f>MONTH(tblClean[[#This Row],[Date]])</f>
        <v>12</v>
      </c>
      <c r="I561" s="15">
        <f>YEAR(tblClean[[#This Row],[Date]])</f>
        <v>2021</v>
      </c>
    </row>
    <row r="562" spans="1:9" x14ac:dyDescent="0.25">
      <c r="A562" s="6">
        <v>44545</v>
      </c>
      <c r="B562" s="1" t="s">
        <v>1137</v>
      </c>
      <c r="C562" s="3" t="str">
        <f>TRIM(CLEAN(PROPER(tblClean[[#This Row],[Transaction Description]])))</f>
        <v>Yourself Wind Beyond Prevent Entire.</v>
      </c>
      <c r="D562" s="1" t="s">
        <v>27</v>
      </c>
      <c r="E562" s="3" t="str">
        <f>TRIM(CLEAN(PROPER(tblClean[[#This Row],[Category]])))</f>
        <v>Other</v>
      </c>
      <c r="F562" s="10" t="s">
        <v>1138</v>
      </c>
      <c r="G562" s="1" t="s">
        <v>18</v>
      </c>
      <c r="H562" s="15">
        <f>MONTH(tblClean[[#This Row],[Date]])</f>
        <v>12</v>
      </c>
      <c r="I562" s="15">
        <f>YEAR(tblClean[[#This Row],[Date]])</f>
        <v>2021</v>
      </c>
    </row>
    <row r="563" spans="1:9" x14ac:dyDescent="0.25">
      <c r="A563" s="7">
        <v>44546</v>
      </c>
      <c r="B563" s="2" t="s">
        <v>1139</v>
      </c>
      <c r="C563" s="4" t="str">
        <f>TRIM(CLEAN(PROPER(tblClean[[#This Row],[Transaction Description]])))</f>
        <v>Offer Work Home.</v>
      </c>
      <c r="D563" s="2" t="s">
        <v>35</v>
      </c>
      <c r="E563" s="3" t="str">
        <f>TRIM(CLEAN(PROPER(tblClean[[#This Row],[Category]])))</f>
        <v>Health &amp; Fitness</v>
      </c>
      <c r="F563" s="11" t="s">
        <v>1140</v>
      </c>
      <c r="G563" s="2" t="s">
        <v>8</v>
      </c>
      <c r="H563" s="15">
        <f>MONTH(tblClean[[#This Row],[Date]])</f>
        <v>12</v>
      </c>
      <c r="I563" s="15">
        <f>YEAR(tblClean[[#This Row],[Date]])</f>
        <v>2021</v>
      </c>
    </row>
    <row r="564" spans="1:9" x14ac:dyDescent="0.25">
      <c r="A564" s="6">
        <v>44549</v>
      </c>
      <c r="B564" s="1" t="s">
        <v>1141</v>
      </c>
      <c r="C564" s="3" t="str">
        <f>TRIM(CLEAN(PROPER(tblClean[[#This Row],[Transaction Description]])))</f>
        <v>Door Fish Scene.</v>
      </c>
      <c r="D564" s="1" t="s">
        <v>16</v>
      </c>
      <c r="E564" s="3" t="str">
        <f>TRIM(CLEAN(PROPER(tblClean[[#This Row],[Category]])))</f>
        <v>Investment</v>
      </c>
      <c r="F564" s="10" t="s">
        <v>1142</v>
      </c>
      <c r="G564" s="1" t="s">
        <v>18</v>
      </c>
      <c r="H564" s="15">
        <f>MONTH(tblClean[[#This Row],[Date]])</f>
        <v>12</v>
      </c>
      <c r="I564" s="15">
        <f>YEAR(tblClean[[#This Row],[Date]])</f>
        <v>2021</v>
      </c>
    </row>
    <row r="565" spans="1:9" x14ac:dyDescent="0.25">
      <c r="A565" s="7">
        <v>44550</v>
      </c>
      <c r="B565" s="2" t="s">
        <v>1143</v>
      </c>
      <c r="C565" s="4" t="str">
        <f>TRIM(CLEAN(PROPER(tblClean[[#This Row],[Transaction Description]])))</f>
        <v>Agreement Red Way Nor None.</v>
      </c>
      <c r="D565" s="2" t="s">
        <v>13</v>
      </c>
      <c r="E565" s="3" t="str">
        <f>TRIM(CLEAN(PROPER(tblClean[[#This Row],[Category]])))</f>
        <v>Rent</v>
      </c>
      <c r="F565" s="11" t="s">
        <v>1144</v>
      </c>
      <c r="G565" s="2" t="s">
        <v>8</v>
      </c>
      <c r="H565" s="15">
        <f>MONTH(tblClean[[#This Row],[Date]])</f>
        <v>12</v>
      </c>
      <c r="I565" s="15">
        <f>YEAR(tblClean[[#This Row],[Date]])</f>
        <v>2021</v>
      </c>
    </row>
    <row r="566" spans="1:9" x14ac:dyDescent="0.25">
      <c r="A566" s="6">
        <v>44550</v>
      </c>
      <c r="B566" s="1" t="s">
        <v>1145</v>
      </c>
      <c r="C566" s="3" t="str">
        <f>TRIM(CLEAN(PROPER(tblClean[[#This Row],[Transaction Description]])))</f>
        <v>My Compare Also Argue.</v>
      </c>
      <c r="D566" s="1" t="s">
        <v>53</v>
      </c>
      <c r="E566" s="3" t="str">
        <f>TRIM(CLEAN(PROPER(tblClean[[#This Row],[Category]])))</f>
        <v>Travel</v>
      </c>
      <c r="F566" s="10" t="s">
        <v>1146</v>
      </c>
      <c r="G566" s="1" t="s">
        <v>8</v>
      </c>
      <c r="H566" s="15">
        <f>MONTH(tblClean[[#This Row],[Date]])</f>
        <v>12</v>
      </c>
      <c r="I566" s="15">
        <f>YEAR(tblClean[[#This Row],[Date]])</f>
        <v>2021</v>
      </c>
    </row>
    <row r="567" spans="1:9" x14ac:dyDescent="0.25">
      <c r="A567" s="7">
        <v>44553</v>
      </c>
      <c r="B567" s="2" t="s">
        <v>1147</v>
      </c>
      <c r="C567" s="4" t="str">
        <f>TRIM(CLEAN(PROPER(tblClean[[#This Row],[Transaction Description]])))</f>
        <v>Money A.</v>
      </c>
      <c r="D567" s="2" t="s">
        <v>13</v>
      </c>
      <c r="E567" s="3" t="str">
        <f>TRIM(CLEAN(PROPER(tblClean[[#This Row],[Category]])))</f>
        <v>Rent</v>
      </c>
      <c r="F567" s="11" t="s">
        <v>1148</v>
      </c>
      <c r="G567" s="2" t="s">
        <v>8</v>
      </c>
      <c r="H567" s="15">
        <f>MONTH(tblClean[[#This Row],[Date]])</f>
        <v>12</v>
      </c>
      <c r="I567" s="15">
        <f>YEAR(tblClean[[#This Row],[Date]])</f>
        <v>2021</v>
      </c>
    </row>
    <row r="568" spans="1:9" x14ac:dyDescent="0.25">
      <c r="A568" s="6">
        <v>44554</v>
      </c>
      <c r="B568" s="1" t="s">
        <v>1149</v>
      </c>
      <c r="C568" s="3" t="str">
        <f>TRIM(CLEAN(PROPER(tblClean[[#This Row],[Transaction Description]])))</f>
        <v>Future Concern Sort.</v>
      </c>
      <c r="D568" s="1" t="s">
        <v>27</v>
      </c>
      <c r="E568" s="3" t="str">
        <f>TRIM(CLEAN(PROPER(tblClean[[#This Row],[Category]])))</f>
        <v>Other</v>
      </c>
      <c r="F568" s="10" t="s">
        <v>1150</v>
      </c>
      <c r="G568" s="1" t="s">
        <v>18</v>
      </c>
      <c r="H568" s="15">
        <f>MONTH(tblClean[[#This Row],[Date]])</f>
        <v>12</v>
      </c>
      <c r="I568" s="15">
        <f>YEAR(tblClean[[#This Row],[Date]])</f>
        <v>2021</v>
      </c>
    </row>
    <row r="569" spans="1:9" x14ac:dyDescent="0.25">
      <c r="A569" s="7">
        <v>44556</v>
      </c>
      <c r="B569" s="2" t="s">
        <v>1151</v>
      </c>
      <c r="C569" s="4" t="str">
        <f>TRIM(CLEAN(PROPER(tblClean[[#This Row],[Transaction Description]])))</f>
        <v>Against Only.</v>
      </c>
      <c r="D569" s="2" t="s">
        <v>35</v>
      </c>
      <c r="E569" s="3" t="str">
        <f>TRIM(CLEAN(PROPER(tblClean[[#This Row],[Category]])))</f>
        <v>Health &amp; Fitness</v>
      </c>
      <c r="F569" s="11" t="s">
        <v>1152</v>
      </c>
      <c r="G569" s="2" t="s">
        <v>8</v>
      </c>
      <c r="H569" s="15">
        <f>MONTH(tblClean[[#This Row],[Date]])</f>
        <v>12</v>
      </c>
      <c r="I569" s="15">
        <f>YEAR(tblClean[[#This Row],[Date]])</f>
        <v>2021</v>
      </c>
    </row>
    <row r="570" spans="1:9" x14ac:dyDescent="0.25">
      <c r="A570" s="6">
        <v>44558</v>
      </c>
      <c r="B570" s="1" t="s">
        <v>1153</v>
      </c>
      <c r="C570" s="3" t="str">
        <f>TRIM(CLEAN(PROPER(tblClean[[#This Row],[Transaction Description]])))</f>
        <v>Suffer Team.</v>
      </c>
      <c r="D570" s="1" t="s">
        <v>27</v>
      </c>
      <c r="E570" s="3" t="str">
        <f>TRIM(CLEAN(PROPER(tblClean[[#This Row],[Category]])))</f>
        <v>Other</v>
      </c>
      <c r="F570" s="10" t="s">
        <v>1154</v>
      </c>
      <c r="G570" s="1" t="s">
        <v>18</v>
      </c>
      <c r="H570" s="15">
        <f>MONTH(tblClean[[#This Row],[Date]])</f>
        <v>12</v>
      </c>
      <c r="I570" s="15">
        <f>YEAR(tblClean[[#This Row],[Date]])</f>
        <v>2021</v>
      </c>
    </row>
    <row r="571" spans="1:9" x14ac:dyDescent="0.25">
      <c r="A571" s="7">
        <v>44561</v>
      </c>
      <c r="B571" s="2" t="s">
        <v>1155</v>
      </c>
      <c r="C571" s="4" t="str">
        <f>TRIM(CLEAN(PROPER(tblClean[[#This Row],[Transaction Description]])))</f>
        <v>Relate Product Only From.</v>
      </c>
      <c r="D571" s="2" t="s">
        <v>16</v>
      </c>
      <c r="E571" s="3" t="str">
        <f>TRIM(CLEAN(PROPER(tblClean[[#This Row],[Category]])))</f>
        <v>Investment</v>
      </c>
      <c r="F571" s="11" t="s">
        <v>1156</v>
      </c>
      <c r="G571" s="2" t="s">
        <v>18</v>
      </c>
      <c r="H571" s="15">
        <f>MONTH(tblClean[[#This Row],[Date]])</f>
        <v>12</v>
      </c>
      <c r="I571" s="15">
        <f>YEAR(tblClean[[#This Row],[Date]])</f>
        <v>2021</v>
      </c>
    </row>
    <row r="572" spans="1:9" x14ac:dyDescent="0.25">
      <c r="A572" s="6">
        <v>44562</v>
      </c>
      <c r="B572" s="1" t="s">
        <v>1157</v>
      </c>
      <c r="C572" s="3" t="str">
        <f>TRIM(CLEAN(PROPER(tblClean[[#This Row],[Transaction Description]])))</f>
        <v>Wish Run Join.</v>
      </c>
      <c r="D572" s="1" t="s">
        <v>38</v>
      </c>
      <c r="E572" s="3" t="str">
        <f>TRIM(CLEAN(PROPER(tblClean[[#This Row],[Category]])))</f>
        <v>Salary</v>
      </c>
      <c r="F572" s="10" t="s">
        <v>1158</v>
      </c>
      <c r="G572" s="1" t="s">
        <v>8</v>
      </c>
      <c r="H572" s="15">
        <f>MONTH(tblClean[[#This Row],[Date]])</f>
        <v>1</v>
      </c>
      <c r="I572" s="15">
        <f>YEAR(tblClean[[#This Row],[Date]])</f>
        <v>2022</v>
      </c>
    </row>
    <row r="573" spans="1:9" x14ac:dyDescent="0.25">
      <c r="A573" s="6">
        <v>44564</v>
      </c>
      <c r="B573" s="1" t="s">
        <v>1161</v>
      </c>
      <c r="C573" s="3" t="str">
        <f>TRIM(CLEAN(PROPER(tblClean[[#This Row],[Transaction Description]])))</f>
        <v>Program Sport Her.</v>
      </c>
      <c r="D573" s="1" t="s">
        <v>35</v>
      </c>
      <c r="E573" s="3" t="str">
        <f>TRIM(CLEAN(PROPER(tblClean[[#This Row],[Category]])))</f>
        <v>Health &amp; Fitness</v>
      </c>
      <c r="F573" s="10" t="s">
        <v>1162</v>
      </c>
      <c r="G573" s="1" t="s">
        <v>8</v>
      </c>
      <c r="H573" s="15">
        <f>MONTH(tblClean[[#This Row],[Date]])</f>
        <v>1</v>
      </c>
      <c r="I573" s="15">
        <f>YEAR(tblClean[[#This Row],[Date]])</f>
        <v>2022</v>
      </c>
    </row>
    <row r="574" spans="1:9" x14ac:dyDescent="0.25">
      <c r="A574" s="7">
        <v>44564</v>
      </c>
      <c r="B574" s="2" t="s">
        <v>1159</v>
      </c>
      <c r="C574" s="4" t="str">
        <f>TRIM(CLEAN(PROPER(tblClean[[#This Row],[Transaction Description]])))</f>
        <v>Company Why Really Up.</v>
      </c>
      <c r="D574" s="2" t="s">
        <v>16</v>
      </c>
      <c r="E574" s="3" t="str">
        <f>TRIM(CLEAN(PROPER(tblClean[[#This Row],[Category]])))</f>
        <v>Investment</v>
      </c>
      <c r="F574" s="11" t="s">
        <v>1160</v>
      </c>
      <c r="G574" s="2" t="s">
        <v>18</v>
      </c>
      <c r="H574" s="15">
        <f>MONTH(tblClean[[#This Row],[Date]])</f>
        <v>1</v>
      </c>
      <c r="I574" s="15">
        <f>YEAR(tblClean[[#This Row],[Date]])</f>
        <v>2022</v>
      </c>
    </row>
    <row r="575" spans="1:9" x14ac:dyDescent="0.25">
      <c r="A575" s="7">
        <v>44564</v>
      </c>
      <c r="B575" s="2" t="s">
        <v>1163</v>
      </c>
      <c r="C575" s="4" t="str">
        <f>TRIM(CLEAN(PROPER(tblClean[[#This Row],[Transaction Description]])))</f>
        <v>Concern Ability Reduce.</v>
      </c>
      <c r="D575" s="2" t="s">
        <v>53</v>
      </c>
      <c r="E575" s="3" t="str">
        <f>TRIM(CLEAN(PROPER(tblClean[[#This Row],[Category]])))</f>
        <v>Travel</v>
      </c>
      <c r="F575" s="11" t="s">
        <v>1164</v>
      </c>
      <c r="G575" s="2" t="s">
        <v>8</v>
      </c>
      <c r="H575" s="15">
        <f>MONTH(tblClean[[#This Row],[Date]])</f>
        <v>1</v>
      </c>
      <c r="I575" s="15">
        <f>YEAR(tblClean[[#This Row],[Date]])</f>
        <v>2022</v>
      </c>
    </row>
    <row r="576" spans="1:9" x14ac:dyDescent="0.25">
      <c r="A576" s="6">
        <v>44565</v>
      </c>
      <c r="B576" s="1" t="s">
        <v>1165</v>
      </c>
      <c r="C576" s="3" t="str">
        <f>TRIM(CLEAN(PROPER(tblClean[[#This Row],[Transaction Description]])))</f>
        <v>Surface Side Nothing Consider.</v>
      </c>
      <c r="D576" s="1" t="s">
        <v>38</v>
      </c>
      <c r="E576" s="3" t="str">
        <f>TRIM(CLEAN(PROPER(tblClean[[#This Row],[Category]])))</f>
        <v>Salary</v>
      </c>
      <c r="F576" s="10" t="s">
        <v>1166</v>
      </c>
      <c r="G576" s="1" t="s">
        <v>8</v>
      </c>
      <c r="H576" s="15">
        <f>MONTH(tblClean[[#This Row],[Date]])</f>
        <v>1</v>
      </c>
      <c r="I576" s="15">
        <f>YEAR(tblClean[[#This Row],[Date]])</f>
        <v>2022</v>
      </c>
    </row>
    <row r="577" spans="1:9" x14ac:dyDescent="0.25">
      <c r="A577" s="7">
        <v>44566</v>
      </c>
      <c r="B577" s="2" t="s">
        <v>1167</v>
      </c>
      <c r="C577" s="4" t="str">
        <f>TRIM(CLEAN(PROPER(tblClean[[#This Row],[Transaction Description]])))</f>
        <v>Determine Not View Cell Seat.</v>
      </c>
      <c r="D577" s="2" t="s">
        <v>6</v>
      </c>
      <c r="E577" s="3" t="str">
        <f>TRIM(CLEAN(PROPER(tblClean[[#This Row],[Category]])))</f>
        <v>Food &amp; Drink</v>
      </c>
      <c r="F577" s="11" t="s">
        <v>1168</v>
      </c>
      <c r="G577" s="2" t="s">
        <v>8</v>
      </c>
      <c r="H577" s="15">
        <f>MONTH(tblClean[[#This Row],[Date]])</f>
        <v>1</v>
      </c>
      <c r="I577" s="15">
        <f>YEAR(tblClean[[#This Row],[Date]])</f>
        <v>2022</v>
      </c>
    </row>
    <row r="578" spans="1:9" x14ac:dyDescent="0.25">
      <c r="A578" s="6">
        <v>44567</v>
      </c>
      <c r="B578" s="1" t="s">
        <v>1169</v>
      </c>
      <c r="C578" s="3" t="str">
        <f>TRIM(CLEAN(PROPER(tblClean[[#This Row],[Transaction Description]])))</f>
        <v>Word Collection Those Become.</v>
      </c>
      <c r="D578" s="1" t="s">
        <v>22</v>
      </c>
      <c r="E578" s="3" t="str">
        <f>TRIM(CLEAN(PROPER(tblClean[[#This Row],[Category]])))</f>
        <v>Shopping</v>
      </c>
      <c r="F578" s="10" t="s">
        <v>1170</v>
      </c>
      <c r="G578" s="1" t="s">
        <v>8</v>
      </c>
      <c r="H578" s="15">
        <f>MONTH(tblClean[[#This Row],[Date]])</f>
        <v>1</v>
      </c>
      <c r="I578" s="15">
        <f>YEAR(tblClean[[#This Row],[Date]])</f>
        <v>2022</v>
      </c>
    </row>
    <row r="579" spans="1:9" x14ac:dyDescent="0.25">
      <c r="A579" s="7">
        <v>44569</v>
      </c>
      <c r="B579" s="2" t="s">
        <v>1171</v>
      </c>
      <c r="C579" s="4" t="str">
        <f>TRIM(CLEAN(PROPER(tblClean[[#This Row],[Transaction Description]])))</f>
        <v>Activity Decide Really Go.</v>
      </c>
      <c r="D579" s="2" t="s">
        <v>6</v>
      </c>
      <c r="E579" s="3" t="str">
        <f>TRIM(CLEAN(PROPER(tblClean[[#This Row],[Category]])))</f>
        <v>Food &amp; Drink</v>
      </c>
      <c r="F579" s="11" t="s">
        <v>1172</v>
      </c>
      <c r="G579" s="2" t="s">
        <v>8</v>
      </c>
      <c r="H579" s="15">
        <f>MONTH(tblClean[[#This Row],[Date]])</f>
        <v>1</v>
      </c>
      <c r="I579" s="15">
        <f>YEAR(tblClean[[#This Row],[Date]])</f>
        <v>2022</v>
      </c>
    </row>
    <row r="580" spans="1:9" x14ac:dyDescent="0.25">
      <c r="A580" s="6">
        <v>44570</v>
      </c>
      <c r="B580" s="1" t="s">
        <v>1173</v>
      </c>
      <c r="C580" s="3" t="str">
        <f>TRIM(CLEAN(PROPER(tblClean[[#This Row],[Transaction Description]])))</f>
        <v>Answer Just.</v>
      </c>
      <c r="D580" s="1" t="s">
        <v>30</v>
      </c>
      <c r="E580" s="3" t="str">
        <f>TRIM(CLEAN(PROPER(tblClean[[#This Row],[Category]])))</f>
        <v>Entertainment</v>
      </c>
      <c r="F580" s="10" t="s">
        <v>1174</v>
      </c>
      <c r="G580" s="1" t="s">
        <v>8</v>
      </c>
      <c r="H580" s="15">
        <f>MONTH(tblClean[[#This Row],[Date]])</f>
        <v>1</v>
      </c>
      <c r="I580" s="15">
        <f>YEAR(tblClean[[#This Row],[Date]])</f>
        <v>2022</v>
      </c>
    </row>
    <row r="581" spans="1:9" x14ac:dyDescent="0.25">
      <c r="A581" s="6">
        <v>44574</v>
      </c>
      <c r="B581" s="1" t="s">
        <v>1177</v>
      </c>
      <c r="C581" s="3" t="str">
        <f>TRIM(CLEAN(PROPER(tblClean[[#This Row],[Transaction Description]])))</f>
        <v>Big Look Tell Prepare.</v>
      </c>
      <c r="D581" s="1" t="s">
        <v>22</v>
      </c>
      <c r="E581" s="3" t="str">
        <f>TRIM(CLEAN(PROPER(tblClean[[#This Row],[Category]])))</f>
        <v>Shopping</v>
      </c>
      <c r="F581" s="10" t="s">
        <v>1178</v>
      </c>
      <c r="G581" s="1" t="s">
        <v>8</v>
      </c>
      <c r="H581" s="15">
        <f>MONTH(tblClean[[#This Row],[Date]])</f>
        <v>1</v>
      </c>
      <c r="I581" s="15">
        <f>YEAR(tblClean[[#This Row],[Date]])</f>
        <v>2022</v>
      </c>
    </row>
    <row r="582" spans="1:9" x14ac:dyDescent="0.25">
      <c r="A582" s="7">
        <v>44574</v>
      </c>
      <c r="B582" s="2" t="s">
        <v>1175</v>
      </c>
      <c r="C582" s="4" t="str">
        <f>TRIM(CLEAN(PROPER(tblClean[[#This Row],[Transaction Description]])))</f>
        <v>This Manage Her.</v>
      </c>
      <c r="D582" s="2" t="s">
        <v>10</v>
      </c>
      <c r="E582" s="3" t="str">
        <f>TRIM(CLEAN(PROPER(tblClean[[#This Row],[Category]])))</f>
        <v>Utilities</v>
      </c>
      <c r="F582" s="11" t="s">
        <v>1176</v>
      </c>
      <c r="G582" s="2" t="s">
        <v>8</v>
      </c>
      <c r="H582" s="15">
        <f>MONTH(tblClean[[#This Row],[Date]])</f>
        <v>1</v>
      </c>
      <c r="I582" s="15">
        <f>YEAR(tblClean[[#This Row],[Date]])</f>
        <v>2022</v>
      </c>
    </row>
    <row r="583" spans="1:9" x14ac:dyDescent="0.25">
      <c r="A583" s="7">
        <v>44575</v>
      </c>
      <c r="B583" s="2" t="s">
        <v>1179</v>
      </c>
      <c r="C583" s="4" t="str">
        <f>TRIM(CLEAN(PROPER(tblClean[[#This Row],[Transaction Description]])))</f>
        <v>Later Son Almost.</v>
      </c>
      <c r="D583" s="2" t="s">
        <v>6</v>
      </c>
      <c r="E583" s="3" t="str">
        <f>TRIM(CLEAN(PROPER(tblClean[[#This Row],[Category]])))</f>
        <v>Food &amp; Drink</v>
      </c>
      <c r="F583" s="11" t="s">
        <v>1180</v>
      </c>
      <c r="G583" s="2" t="s">
        <v>8</v>
      </c>
      <c r="H583" s="15">
        <f>MONTH(tblClean[[#This Row],[Date]])</f>
        <v>1</v>
      </c>
      <c r="I583" s="15">
        <f>YEAR(tblClean[[#This Row],[Date]])</f>
        <v>2022</v>
      </c>
    </row>
    <row r="584" spans="1:9" x14ac:dyDescent="0.25">
      <c r="A584" s="6">
        <v>44577</v>
      </c>
      <c r="B584" s="1" t="s">
        <v>1181</v>
      </c>
      <c r="C584" s="3" t="str">
        <f>TRIM(CLEAN(PROPER(tblClean[[#This Row],[Transaction Description]])))</f>
        <v>End Bit Game Thousand.</v>
      </c>
      <c r="D584" s="1" t="s">
        <v>30</v>
      </c>
      <c r="E584" s="3" t="str">
        <f>TRIM(CLEAN(PROPER(tblClean[[#This Row],[Category]])))</f>
        <v>Entertainment</v>
      </c>
      <c r="F584" s="10" t="s">
        <v>1182</v>
      </c>
      <c r="G584" s="1" t="s">
        <v>8</v>
      </c>
      <c r="H584" s="15">
        <f>MONTH(tblClean[[#This Row],[Date]])</f>
        <v>1</v>
      </c>
      <c r="I584" s="15">
        <f>YEAR(tblClean[[#This Row],[Date]])</f>
        <v>2022</v>
      </c>
    </row>
    <row r="585" spans="1:9" x14ac:dyDescent="0.25">
      <c r="A585" s="7">
        <v>44577</v>
      </c>
      <c r="B585" s="2" t="s">
        <v>1183</v>
      </c>
      <c r="C585" s="4" t="str">
        <f>TRIM(CLEAN(PROPER(tblClean[[#This Row],[Transaction Description]])))</f>
        <v>Natural Together.</v>
      </c>
      <c r="D585" s="2" t="s">
        <v>10</v>
      </c>
      <c r="E585" s="3" t="str">
        <f>TRIM(CLEAN(PROPER(tblClean[[#This Row],[Category]])))</f>
        <v>Utilities</v>
      </c>
      <c r="F585" s="11" t="s">
        <v>1184</v>
      </c>
      <c r="G585" s="2" t="s">
        <v>8</v>
      </c>
      <c r="H585" s="15">
        <f>MONTH(tblClean[[#This Row],[Date]])</f>
        <v>1</v>
      </c>
      <c r="I585" s="15">
        <f>YEAR(tblClean[[#This Row],[Date]])</f>
        <v>2022</v>
      </c>
    </row>
    <row r="586" spans="1:9" x14ac:dyDescent="0.25">
      <c r="A586" s="7">
        <v>44579</v>
      </c>
      <c r="B586" s="2" t="s">
        <v>1187</v>
      </c>
      <c r="C586" s="4" t="str">
        <f>TRIM(CLEAN(PROPER(tblClean[[#This Row],[Transaction Description]])))</f>
        <v>Threat Church Big Day Couple.</v>
      </c>
      <c r="D586" s="2" t="s">
        <v>6</v>
      </c>
      <c r="E586" s="3" t="str">
        <f>TRIM(CLEAN(PROPER(tblClean[[#This Row],[Category]])))</f>
        <v>Food &amp; Drink</v>
      </c>
      <c r="F586" s="11" t="s">
        <v>1188</v>
      </c>
      <c r="G586" s="2" t="s">
        <v>8</v>
      </c>
      <c r="H586" s="15">
        <f>MONTH(tblClean[[#This Row],[Date]])</f>
        <v>1</v>
      </c>
      <c r="I586" s="15">
        <f>YEAR(tblClean[[#This Row],[Date]])</f>
        <v>2022</v>
      </c>
    </row>
    <row r="587" spans="1:9" x14ac:dyDescent="0.25">
      <c r="A587" s="6">
        <v>44579</v>
      </c>
      <c r="B587" s="1" t="s">
        <v>1185</v>
      </c>
      <c r="C587" s="3" t="str">
        <f>TRIM(CLEAN(PROPER(tblClean[[#This Row],[Transaction Description]])))</f>
        <v>Order Party Lot All.</v>
      </c>
      <c r="D587" s="1" t="s">
        <v>38</v>
      </c>
      <c r="E587" s="3" t="str">
        <f>TRIM(CLEAN(PROPER(tblClean[[#This Row],[Category]])))</f>
        <v>Salary</v>
      </c>
      <c r="F587" s="10" t="s">
        <v>1186</v>
      </c>
      <c r="G587" s="1" t="s">
        <v>8</v>
      </c>
      <c r="H587" s="15">
        <f>MONTH(tblClean[[#This Row],[Date]])</f>
        <v>1</v>
      </c>
      <c r="I587" s="15">
        <f>YEAR(tblClean[[#This Row],[Date]])</f>
        <v>2022</v>
      </c>
    </row>
    <row r="588" spans="1:9" x14ac:dyDescent="0.25">
      <c r="A588" s="6">
        <v>44582</v>
      </c>
      <c r="B588" s="1" t="s">
        <v>1189</v>
      </c>
      <c r="C588" s="3" t="str">
        <f>TRIM(CLEAN(PROPER(tblClean[[#This Row],[Transaction Description]])))</f>
        <v>Enter Example Down Anyone Occur.</v>
      </c>
      <c r="D588" s="1" t="s">
        <v>35</v>
      </c>
      <c r="E588" s="3" t="str">
        <f>TRIM(CLEAN(PROPER(tblClean[[#This Row],[Category]])))</f>
        <v>Health &amp; Fitness</v>
      </c>
      <c r="F588" s="10" t="s">
        <v>1190</v>
      </c>
      <c r="G588" s="1" t="s">
        <v>8</v>
      </c>
      <c r="H588" s="15">
        <f>MONTH(tblClean[[#This Row],[Date]])</f>
        <v>1</v>
      </c>
      <c r="I588" s="15">
        <f>YEAR(tblClean[[#This Row],[Date]])</f>
        <v>2022</v>
      </c>
    </row>
    <row r="589" spans="1:9" x14ac:dyDescent="0.25">
      <c r="A589" s="7">
        <v>44582</v>
      </c>
      <c r="B589" s="2" t="s">
        <v>1191</v>
      </c>
      <c r="C589" s="4" t="str">
        <f>TRIM(CLEAN(PROPER(tblClean[[#This Row],[Transaction Description]])))</f>
        <v>Approach About Because.</v>
      </c>
      <c r="D589" s="2" t="s">
        <v>22</v>
      </c>
      <c r="E589" s="3" t="str">
        <f>TRIM(CLEAN(PROPER(tblClean[[#This Row],[Category]])))</f>
        <v>Shopping</v>
      </c>
      <c r="F589" s="11" t="s">
        <v>1192</v>
      </c>
      <c r="G589" s="2" t="s">
        <v>8</v>
      </c>
      <c r="H589" s="15">
        <f>MONTH(tblClean[[#This Row],[Date]])</f>
        <v>1</v>
      </c>
      <c r="I589" s="15">
        <f>YEAR(tblClean[[#This Row],[Date]])</f>
        <v>2022</v>
      </c>
    </row>
    <row r="590" spans="1:9" x14ac:dyDescent="0.25">
      <c r="A590" s="6">
        <v>44583</v>
      </c>
      <c r="B590" s="1" t="s">
        <v>1193</v>
      </c>
      <c r="C590" s="3" t="str">
        <f>TRIM(CLEAN(PROPER(tblClean[[#This Row],[Transaction Description]])))</f>
        <v>Best Deal Point.</v>
      </c>
      <c r="D590" s="1" t="s">
        <v>27</v>
      </c>
      <c r="E590" s="3" t="str">
        <f>TRIM(CLEAN(PROPER(tblClean[[#This Row],[Category]])))</f>
        <v>Other</v>
      </c>
      <c r="F590" s="10" t="s">
        <v>1194</v>
      </c>
      <c r="G590" s="1" t="s">
        <v>18</v>
      </c>
      <c r="H590" s="15">
        <f>MONTH(tblClean[[#This Row],[Date]])</f>
        <v>1</v>
      </c>
      <c r="I590" s="15">
        <f>YEAR(tblClean[[#This Row],[Date]])</f>
        <v>2022</v>
      </c>
    </row>
    <row r="591" spans="1:9" x14ac:dyDescent="0.25">
      <c r="A591" s="7">
        <v>44584</v>
      </c>
      <c r="B591" s="2" t="s">
        <v>1195</v>
      </c>
      <c r="C591" s="4" t="str">
        <f>TRIM(CLEAN(PROPER(tblClean[[#This Row],[Transaction Description]])))</f>
        <v>Such Final However Major.</v>
      </c>
      <c r="D591" s="2" t="s">
        <v>53</v>
      </c>
      <c r="E591" s="3" t="str">
        <f>TRIM(CLEAN(PROPER(tblClean[[#This Row],[Category]])))</f>
        <v>Travel</v>
      </c>
      <c r="F591" s="11" t="s">
        <v>1196</v>
      </c>
      <c r="G591" s="2" t="s">
        <v>8</v>
      </c>
      <c r="H591" s="15">
        <f>MONTH(tblClean[[#This Row],[Date]])</f>
        <v>1</v>
      </c>
      <c r="I591" s="15">
        <f>YEAR(tblClean[[#This Row],[Date]])</f>
        <v>2022</v>
      </c>
    </row>
    <row r="592" spans="1:9" x14ac:dyDescent="0.25">
      <c r="A592" s="6">
        <v>44585</v>
      </c>
      <c r="B592" s="1" t="s">
        <v>1197</v>
      </c>
      <c r="C592" s="3" t="str">
        <f>TRIM(CLEAN(PROPER(tblClean[[#This Row],[Transaction Description]])))</f>
        <v>Politics Hold.</v>
      </c>
      <c r="D592" s="1" t="s">
        <v>16</v>
      </c>
      <c r="E592" s="3" t="str">
        <f>TRIM(CLEAN(PROPER(tblClean[[#This Row],[Category]])))</f>
        <v>Investment</v>
      </c>
      <c r="F592" s="10" t="s">
        <v>1198</v>
      </c>
      <c r="G592" s="1" t="s">
        <v>18</v>
      </c>
      <c r="H592" s="15">
        <f>MONTH(tblClean[[#This Row],[Date]])</f>
        <v>1</v>
      </c>
      <c r="I592" s="15">
        <f>YEAR(tblClean[[#This Row],[Date]])</f>
        <v>2022</v>
      </c>
    </row>
    <row r="593" spans="1:9" x14ac:dyDescent="0.25">
      <c r="A593" s="7">
        <v>44589</v>
      </c>
      <c r="B593" s="2" t="s">
        <v>1199</v>
      </c>
      <c r="C593" s="4" t="str">
        <f>TRIM(CLEAN(PROPER(tblClean[[#This Row],[Transaction Description]])))</f>
        <v>Hard Knowledge Enjoy Let.</v>
      </c>
      <c r="D593" s="2" t="s">
        <v>30</v>
      </c>
      <c r="E593" s="3" t="str">
        <f>TRIM(CLEAN(PROPER(tblClean[[#This Row],[Category]])))</f>
        <v>Entertainment</v>
      </c>
      <c r="F593" s="11" t="s">
        <v>1200</v>
      </c>
      <c r="G593" s="2" t="s">
        <v>8</v>
      </c>
      <c r="H593" s="15">
        <f>MONTH(tblClean[[#This Row],[Date]])</f>
        <v>1</v>
      </c>
      <c r="I593" s="15">
        <f>YEAR(tblClean[[#This Row],[Date]])</f>
        <v>2022</v>
      </c>
    </row>
    <row r="594" spans="1:9" x14ac:dyDescent="0.25">
      <c r="A594" s="6">
        <v>44593</v>
      </c>
      <c r="B594" s="1" t="s">
        <v>1201</v>
      </c>
      <c r="C594" s="3" t="str">
        <f>TRIM(CLEAN(PROPER(tblClean[[#This Row],[Transaction Description]])))</f>
        <v>Nor Character Recent.</v>
      </c>
      <c r="D594" s="1" t="s">
        <v>53</v>
      </c>
      <c r="E594" s="3" t="str">
        <f>TRIM(CLEAN(PROPER(tblClean[[#This Row],[Category]])))</f>
        <v>Travel</v>
      </c>
      <c r="F594" s="10" t="s">
        <v>1202</v>
      </c>
      <c r="G594" s="1" t="s">
        <v>8</v>
      </c>
      <c r="H594" s="15">
        <f>MONTH(tblClean[[#This Row],[Date]])</f>
        <v>2</v>
      </c>
      <c r="I594" s="15">
        <f>YEAR(tblClean[[#This Row],[Date]])</f>
        <v>2022</v>
      </c>
    </row>
    <row r="595" spans="1:9" x14ac:dyDescent="0.25">
      <c r="A595" s="7">
        <v>44594</v>
      </c>
      <c r="B595" s="2" t="s">
        <v>1203</v>
      </c>
      <c r="C595" s="4" t="str">
        <f>TRIM(CLEAN(PROPER(tblClean[[#This Row],[Transaction Description]])))</f>
        <v>Property Space.</v>
      </c>
      <c r="D595" s="2" t="s">
        <v>38</v>
      </c>
      <c r="E595" s="3" t="str">
        <f>TRIM(CLEAN(PROPER(tblClean[[#This Row],[Category]])))</f>
        <v>Salary</v>
      </c>
      <c r="F595" s="11" t="s">
        <v>1204</v>
      </c>
      <c r="G595" s="2" t="s">
        <v>8</v>
      </c>
      <c r="H595" s="15">
        <f>MONTH(tblClean[[#This Row],[Date]])</f>
        <v>2</v>
      </c>
      <c r="I595" s="15">
        <f>YEAR(tblClean[[#This Row],[Date]])</f>
        <v>2022</v>
      </c>
    </row>
    <row r="596" spans="1:9" x14ac:dyDescent="0.25">
      <c r="A596" s="7">
        <v>44597</v>
      </c>
      <c r="B596" s="2" t="s">
        <v>1207</v>
      </c>
      <c r="C596" s="4" t="str">
        <f>TRIM(CLEAN(PROPER(tblClean[[#This Row],[Transaction Description]])))</f>
        <v>Think Live Bad Total Research.</v>
      </c>
      <c r="D596" s="2" t="s">
        <v>22</v>
      </c>
      <c r="E596" s="3" t="str">
        <f>TRIM(CLEAN(PROPER(tblClean[[#This Row],[Category]])))</f>
        <v>Shopping</v>
      </c>
      <c r="F596" s="11" t="s">
        <v>1208</v>
      </c>
      <c r="G596" s="2" t="s">
        <v>8</v>
      </c>
      <c r="H596" s="15">
        <f>MONTH(tblClean[[#This Row],[Date]])</f>
        <v>2</v>
      </c>
      <c r="I596" s="15">
        <f>YEAR(tblClean[[#This Row],[Date]])</f>
        <v>2022</v>
      </c>
    </row>
    <row r="597" spans="1:9" x14ac:dyDescent="0.25">
      <c r="A597" s="6">
        <v>44597</v>
      </c>
      <c r="B597" s="1" t="s">
        <v>1205</v>
      </c>
      <c r="C597" s="3" t="str">
        <f>TRIM(CLEAN(PROPER(tblClean[[#This Row],[Transaction Description]])))</f>
        <v>Dinner Article Hit Mission Whole.</v>
      </c>
      <c r="D597" s="1" t="s">
        <v>53</v>
      </c>
      <c r="E597" s="3" t="str">
        <f>TRIM(CLEAN(PROPER(tblClean[[#This Row],[Category]])))</f>
        <v>Travel</v>
      </c>
      <c r="F597" s="10" t="s">
        <v>1206</v>
      </c>
      <c r="G597" s="1" t="s">
        <v>8</v>
      </c>
      <c r="H597" s="15">
        <f>MONTH(tblClean[[#This Row],[Date]])</f>
        <v>2</v>
      </c>
      <c r="I597" s="15">
        <f>YEAR(tblClean[[#This Row],[Date]])</f>
        <v>2022</v>
      </c>
    </row>
    <row r="598" spans="1:9" x14ac:dyDescent="0.25">
      <c r="A598" s="6">
        <v>44598</v>
      </c>
      <c r="B598" s="1" t="s">
        <v>1209</v>
      </c>
      <c r="C598" s="3" t="str">
        <f>TRIM(CLEAN(PROPER(tblClean[[#This Row],[Transaction Description]])))</f>
        <v>Too Song Quality Per Build.</v>
      </c>
      <c r="D598" s="1" t="s">
        <v>35</v>
      </c>
      <c r="E598" s="3" t="str">
        <f>TRIM(CLEAN(PROPER(tblClean[[#This Row],[Category]])))</f>
        <v>Health &amp; Fitness</v>
      </c>
      <c r="F598" s="10" t="s">
        <v>1210</v>
      </c>
      <c r="G598" s="1" t="s">
        <v>8</v>
      </c>
      <c r="H598" s="15">
        <f>MONTH(tblClean[[#This Row],[Date]])</f>
        <v>2</v>
      </c>
      <c r="I598" s="15">
        <f>YEAR(tblClean[[#This Row],[Date]])</f>
        <v>2022</v>
      </c>
    </row>
    <row r="599" spans="1:9" x14ac:dyDescent="0.25">
      <c r="A599" s="6">
        <v>44600</v>
      </c>
      <c r="B599" s="1" t="s">
        <v>1213</v>
      </c>
      <c r="C599" s="3" t="str">
        <f>TRIM(CLEAN(PROPER(tblClean[[#This Row],[Transaction Description]])))</f>
        <v>Amount Bad Raise.</v>
      </c>
      <c r="D599" s="1" t="s">
        <v>13</v>
      </c>
      <c r="E599" s="3" t="str">
        <f>TRIM(CLEAN(PROPER(tblClean[[#This Row],[Category]])))</f>
        <v>Rent</v>
      </c>
      <c r="F599" s="10" t="s">
        <v>1214</v>
      </c>
      <c r="G599" s="1" t="s">
        <v>8</v>
      </c>
      <c r="H599" s="15">
        <f>MONTH(tblClean[[#This Row],[Date]])</f>
        <v>2</v>
      </c>
      <c r="I599" s="15">
        <f>YEAR(tblClean[[#This Row],[Date]])</f>
        <v>2022</v>
      </c>
    </row>
    <row r="600" spans="1:9" x14ac:dyDescent="0.25">
      <c r="A600" s="7">
        <v>44600</v>
      </c>
      <c r="B600" s="2" t="s">
        <v>1211</v>
      </c>
      <c r="C600" s="4" t="str">
        <f>TRIM(CLEAN(PROPER(tblClean[[#This Row],[Transaction Description]])))</f>
        <v>We Cold Deep.</v>
      </c>
      <c r="D600" s="2" t="s">
        <v>53</v>
      </c>
      <c r="E600" s="3" t="str">
        <f>TRIM(CLEAN(PROPER(tblClean[[#This Row],[Category]])))</f>
        <v>Travel</v>
      </c>
      <c r="F600" s="11" t="s">
        <v>1212</v>
      </c>
      <c r="G600" s="2" t="s">
        <v>8</v>
      </c>
      <c r="H600" s="15">
        <f>MONTH(tblClean[[#This Row],[Date]])</f>
        <v>2</v>
      </c>
      <c r="I600" s="15">
        <f>YEAR(tblClean[[#This Row],[Date]])</f>
        <v>2022</v>
      </c>
    </row>
    <row r="601" spans="1:9" x14ac:dyDescent="0.25">
      <c r="A601" s="7">
        <v>44601</v>
      </c>
      <c r="B601" s="2" t="s">
        <v>1215</v>
      </c>
      <c r="C601" s="4" t="str">
        <f>TRIM(CLEAN(PROPER(tblClean[[#This Row],[Transaction Description]])))</f>
        <v>Challenge Organization Floor Road Southern.</v>
      </c>
      <c r="D601" s="2" t="s">
        <v>53</v>
      </c>
      <c r="E601" s="3" t="str">
        <f>TRIM(CLEAN(PROPER(tblClean[[#This Row],[Category]])))</f>
        <v>Travel</v>
      </c>
      <c r="F601" s="11" t="s">
        <v>1216</v>
      </c>
      <c r="G601" s="2" t="s">
        <v>8</v>
      </c>
      <c r="H601" s="15">
        <f>MONTH(tblClean[[#This Row],[Date]])</f>
        <v>2</v>
      </c>
      <c r="I601" s="15">
        <f>YEAR(tblClean[[#This Row],[Date]])</f>
        <v>2022</v>
      </c>
    </row>
    <row r="602" spans="1:9" x14ac:dyDescent="0.25">
      <c r="A602" s="6">
        <v>44602</v>
      </c>
      <c r="B602" s="1" t="s">
        <v>1221</v>
      </c>
      <c r="C602" s="3" t="str">
        <f>TRIM(CLEAN(PROPER(tblClean[[#This Row],[Transaction Description]])))</f>
        <v>Understand None.</v>
      </c>
      <c r="D602" s="1" t="s">
        <v>30</v>
      </c>
      <c r="E602" s="3" t="str">
        <f>TRIM(CLEAN(PROPER(tblClean[[#This Row],[Category]])))</f>
        <v>Entertainment</v>
      </c>
      <c r="F602" s="10" t="s">
        <v>1222</v>
      </c>
      <c r="G602" s="1" t="s">
        <v>8</v>
      </c>
      <c r="H602" s="15">
        <f>MONTH(tblClean[[#This Row],[Date]])</f>
        <v>2</v>
      </c>
      <c r="I602" s="15">
        <f>YEAR(tblClean[[#This Row],[Date]])</f>
        <v>2022</v>
      </c>
    </row>
    <row r="603" spans="1:9" x14ac:dyDescent="0.25">
      <c r="A603" s="7">
        <v>44602</v>
      </c>
      <c r="B603" s="2" t="s">
        <v>1223</v>
      </c>
      <c r="C603" s="4" t="str">
        <f>TRIM(CLEAN(PROPER(tblClean[[#This Row],[Transaction Description]])))</f>
        <v>Test They There.</v>
      </c>
      <c r="D603" s="2" t="s">
        <v>30</v>
      </c>
      <c r="E603" s="3" t="str">
        <f>TRIM(CLEAN(PROPER(tblClean[[#This Row],[Category]])))</f>
        <v>Entertainment</v>
      </c>
      <c r="F603" s="11" t="s">
        <v>1224</v>
      </c>
      <c r="G603" s="2" t="s">
        <v>8</v>
      </c>
      <c r="H603" s="15">
        <f>MONTH(tblClean[[#This Row],[Date]])</f>
        <v>2</v>
      </c>
      <c r="I603" s="15">
        <f>YEAR(tblClean[[#This Row],[Date]])</f>
        <v>2022</v>
      </c>
    </row>
    <row r="604" spans="1:9" x14ac:dyDescent="0.25">
      <c r="A604" s="6">
        <v>44602</v>
      </c>
      <c r="B604" s="1" t="s">
        <v>1217</v>
      </c>
      <c r="C604" s="3" t="str">
        <f>TRIM(CLEAN(PROPER(tblClean[[#This Row],[Transaction Description]])))</f>
        <v>News Need Task Mind.</v>
      </c>
      <c r="D604" s="1" t="s">
        <v>53</v>
      </c>
      <c r="E604" s="3" t="str">
        <f>TRIM(CLEAN(PROPER(tblClean[[#This Row],[Category]])))</f>
        <v>Travel</v>
      </c>
      <c r="F604" s="10" t="s">
        <v>1218</v>
      </c>
      <c r="G604" s="1" t="s">
        <v>8</v>
      </c>
      <c r="H604" s="15">
        <f>MONTH(tblClean[[#This Row],[Date]])</f>
        <v>2</v>
      </c>
      <c r="I604" s="15">
        <f>YEAR(tblClean[[#This Row],[Date]])</f>
        <v>2022</v>
      </c>
    </row>
    <row r="605" spans="1:9" x14ac:dyDescent="0.25">
      <c r="A605" s="7">
        <v>44602</v>
      </c>
      <c r="B605" s="2" t="s">
        <v>1219</v>
      </c>
      <c r="C605" s="4" t="str">
        <f>TRIM(CLEAN(PROPER(tblClean[[#This Row],[Transaction Description]])))</f>
        <v>Onto Site Both Change Note.</v>
      </c>
      <c r="D605" s="2" t="s">
        <v>10</v>
      </c>
      <c r="E605" s="3" t="str">
        <f>TRIM(CLEAN(PROPER(tblClean[[#This Row],[Category]])))</f>
        <v>Utilities</v>
      </c>
      <c r="F605" s="11" t="s">
        <v>1220</v>
      </c>
      <c r="G605" s="2" t="s">
        <v>8</v>
      </c>
      <c r="H605" s="15">
        <f>MONTH(tblClean[[#This Row],[Date]])</f>
        <v>2</v>
      </c>
      <c r="I605" s="15">
        <f>YEAR(tblClean[[#This Row],[Date]])</f>
        <v>2022</v>
      </c>
    </row>
    <row r="606" spans="1:9" x14ac:dyDescent="0.25">
      <c r="A606" s="6">
        <v>44603</v>
      </c>
      <c r="B606" s="1" t="s">
        <v>1225</v>
      </c>
      <c r="C606" s="3" t="str">
        <f>TRIM(CLEAN(PROPER(tblClean[[#This Row],[Transaction Description]])))</f>
        <v>Pressure Occur List Common.</v>
      </c>
      <c r="D606" s="1" t="s">
        <v>27</v>
      </c>
      <c r="E606" s="3" t="str">
        <f>TRIM(CLEAN(PROPER(tblClean[[#This Row],[Category]])))</f>
        <v>Other</v>
      </c>
      <c r="F606" s="10" t="s">
        <v>1226</v>
      </c>
      <c r="G606" s="1" t="s">
        <v>18</v>
      </c>
      <c r="H606" s="15">
        <f>MONTH(tblClean[[#This Row],[Date]])</f>
        <v>2</v>
      </c>
      <c r="I606" s="15">
        <f>YEAR(tblClean[[#This Row],[Date]])</f>
        <v>2022</v>
      </c>
    </row>
    <row r="607" spans="1:9" x14ac:dyDescent="0.25">
      <c r="A607" s="7">
        <v>44606</v>
      </c>
      <c r="B607" s="2" t="s">
        <v>1227</v>
      </c>
      <c r="C607" s="4" t="str">
        <f>TRIM(CLEAN(PROPER(tblClean[[#This Row],[Transaction Description]])))</f>
        <v>Peace Race I.</v>
      </c>
      <c r="D607" s="2" t="s">
        <v>13</v>
      </c>
      <c r="E607" s="3" t="str">
        <f>TRIM(CLEAN(PROPER(tblClean[[#This Row],[Category]])))</f>
        <v>Rent</v>
      </c>
      <c r="F607" s="11" t="s">
        <v>1228</v>
      </c>
      <c r="G607" s="2" t="s">
        <v>8</v>
      </c>
      <c r="H607" s="15">
        <f>MONTH(tblClean[[#This Row],[Date]])</f>
        <v>2</v>
      </c>
      <c r="I607" s="15">
        <f>YEAR(tblClean[[#This Row],[Date]])</f>
        <v>2022</v>
      </c>
    </row>
    <row r="608" spans="1:9" x14ac:dyDescent="0.25">
      <c r="A608" s="7">
        <v>44609</v>
      </c>
      <c r="B608" s="2" t="s">
        <v>1235</v>
      </c>
      <c r="C608" s="4" t="str">
        <f>TRIM(CLEAN(PROPER(tblClean[[#This Row],[Transaction Description]])))</f>
        <v>Feel Season Similar.</v>
      </c>
      <c r="D608" s="2" t="s">
        <v>6</v>
      </c>
      <c r="E608" s="3" t="str">
        <f>TRIM(CLEAN(PROPER(tblClean[[#This Row],[Category]])))</f>
        <v>Food &amp; Drink</v>
      </c>
      <c r="F608" s="11" t="s">
        <v>1236</v>
      </c>
      <c r="G608" s="2" t="s">
        <v>8</v>
      </c>
      <c r="H608" s="15">
        <f>MONTH(tblClean[[#This Row],[Date]])</f>
        <v>2</v>
      </c>
      <c r="I608" s="15">
        <f>YEAR(tblClean[[#This Row],[Date]])</f>
        <v>2022</v>
      </c>
    </row>
    <row r="609" spans="1:9" x14ac:dyDescent="0.25">
      <c r="A609" s="6">
        <v>44609</v>
      </c>
      <c r="B609" s="1" t="s">
        <v>1229</v>
      </c>
      <c r="C609" s="3" t="str">
        <f>TRIM(CLEAN(PROPER(tblClean[[#This Row],[Transaction Description]])))</f>
        <v>Real Any Little Environmental.</v>
      </c>
      <c r="D609" s="1" t="s">
        <v>16</v>
      </c>
      <c r="E609" s="3" t="str">
        <f>TRIM(CLEAN(PROPER(tblClean[[#This Row],[Category]])))</f>
        <v>Investment</v>
      </c>
      <c r="F609" s="10" t="s">
        <v>1230</v>
      </c>
      <c r="G609" s="1" t="s">
        <v>18</v>
      </c>
      <c r="H609" s="15">
        <f>MONTH(tblClean[[#This Row],[Date]])</f>
        <v>2</v>
      </c>
      <c r="I609" s="15">
        <f>YEAR(tblClean[[#This Row],[Date]])</f>
        <v>2022</v>
      </c>
    </row>
    <row r="610" spans="1:9" x14ac:dyDescent="0.25">
      <c r="A610" s="6">
        <v>44609</v>
      </c>
      <c r="B610" s="1" t="s">
        <v>1233</v>
      </c>
      <c r="C610" s="3" t="str">
        <f>TRIM(CLEAN(PROPER(tblClean[[#This Row],[Transaction Description]])))</f>
        <v>Successful Teach Range.</v>
      </c>
      <c r="D610" s="1" t="s">
        <v>27</v>
      </c>
      <c r="E610" s="3" t="str">
        <f>TRIM(CLEAN(PROPER(tblClean[[#This Row],[Category]])))</f>
        <v>Other</v>
      </c>
      <c r="F610" s="10" t="s">
        <v>1234</v>
      </c>
      <c r="G610" s="1" t="s">
        <v>18</v>
      </c>
      <c r="H610" s="15">
        <f>MONTH(tblClean[[#This Row],[Date]])</f>
        <v>2</v>
      </c>
      <c r="I610" s="15">
        <f>YEAR(tblClean[[#This Row],[Date]])</f>
        <v>2022</v>
      </c>
    </row>
    <row r="611" spans="1:9" x14ac:dyDescent="0.25">
      <c r="A611" s="7">
        <v>44609</v>
      </c>
      <c r="B611" s="2" t="s">
        <v>1231</v>
      </c>
      <c r="C611" s="4" t="str">
        <f>TRIM(CLEAN(PROPER(tblClean[[#This Row],[Transaction Description]])))</f>
        <v>Full Soldier.</v>
      </c>
      <c r="D611" s="2" t="s">
        <v>38</v>
      </c>
      <c r="E611" s="3" t="str">
        <f>TRIM(CLEAN(PROPER(tblClean[[#This Row],[Category]])))</f>
        <v>Salary</v>
      </c>
      <c r="F611" s="11" t="s">
        <v>1232</v>
      </c>
      <c r="G611" s="2" t="s">
        <v>8</v>
      </c>
      <c r="H611" s="15">
        <f>MONTH(tblClean[[#This Row],[Date]])</f>
        <v>2</v>
      </c>
      <c r="I611" s="15">
        <f>YEAR(tblClean[[#This Row],[Date]])</f>
        <v>2022</v>
      </c>
    </row>
    <row r="612" spans="1:9" x14ac:dyDescent="0.25">
      <c r="A612" s="6">
        <v>44610</v>
      </c>
      <c r="B612" s="1" t="s">
        <v>1237</v>
      </c>
      <c r="C612" s="3" t="str">
        <f>TRIM(CLEAN(PROPER(tblClean[[#This Row],[Transaction Description]])))</f>
        <v>Rock Painting Become.</v>
      </c>
      <c r="D612" s="1" t="s">
        <v>16</v>
      </c>
      <c r="E612" s="3" t="str">
        <f>TRIM(CLEAN(PROPER(tblClean[[#This Row],[Category]])))</f>
        <v>Investment</v>
      </c>
      <c r="F612" s="10" t="s">
        <v>1238</v>
      </c>
      <c r="G612" s="1" t="s">
        <v>18</v>
      </c>
      <c r="H612" s="15">
        <f>MONTH(tblClean[[#This Row],[Date]])</f>
        <v>2</v>
      </c>
      <c r="I612" s="15">
        <f>YEAR(tblClean[[#This Row],[Date]])</f>
        <v>2022</v>
      </c>
    </row>
    <row r="613" spans="1:9" x14ac:dyDescent="0.25">
      <c r="A613" s="7">
        <v>44613</v>
      </c>
      <c r="B613" s="2" t="s">
        <v>1239</v>
      </c>
      <c r="C613" s="4" t="str">
        <f>TRIM(CLEAN(PROPER(tblClean[[#This Row],[Transaction Description]])))</f>
        <v>Tree Imagine Machine.</v>
      </c>
      <c r="D613" s="2" t="s">
        <v>6</v>
      </c>
      <c r="E613" s="3" t="str">
        <f>TRIM(CLEAN(PROPER(tblClean[[#This Row],[Category]])))</f>
        <v>Food &amp; Drink</v>
      </c>
      <c r="F613" s="11" t="s">
        <v>1240</v>
      </c>
      <c r="G613" s="2" t="s">
        <v>8</v>
      </c>
      <c r="H613" s="15">
        <f>MONTH(tblClean[[#This Row],[Date]])</f>
        <v>2</v>
      </c>
      <c r="I613" s="15">
        <f>YEAR(tblClean[[#This Row],[Date]])</f>
        <v>2022</v>
      </c>
    </row>
    <row r="614" spans="1:9" x14ac:dyDescent="0.25">
      <c r="A614" s="6">
        <v>44614</v>
      </c>
      <c r="B614" s="1" t="s">
        <v>1241</v>
      </c>
      <c r="C614" s="3" t="str">
        <f>TRIM(CLEAN(PROPER(tblClean[[#This Row],[Transaction Description]])))</f>
        <v>Start Middle City Find.</v>
      </c>
      <c r="D614" s="1" t="s">
        <v>16</v>
      </c>
      <c r="E614" s="3" t="str">
        <f>TRIM(CLEAN(PROPER(tblClean[[#This Row],[Category]])))</f>
        <v>Investment</v>
      </c>
      <c r="F614" s="10" t="s">
        <v>1242</v>
      </c>
      <c r="G614" s="1" t="s">
        <v>18</v>
      </c>
      <c r="H614" s="15">
        <f>MONTH(tblClean[[#This Row],[Date]])</f>
        <v>2</v>
      </c>
      <c r="I614" s="15">
        <f>YEAR(tblClean[[#This Row],[Date]])</f>
        <v>2022</v>
      </c>
    </row>
    <row r="615" spans="1:9" x14ac:dyDescent="0.25">
      <c r="A615" s="7">
        <v>44614</v>
      </c>
      <c r="B615" s="2" t="s">
        <v>1243</v>
      </c>
      <c r="C615" s="4" t="str">
        <f>TRIM(CLEAN(PROPER(tblClean[[#This Row],[Transaction Description]])))</f>
        <v>Career Surface These Ahead.</v>
      </c>
      <c r="D615" s="2" t="s">
        <v>22</v>
      </c>
      <c r="E615" s="3" t="str">
        <f>TRIM(CLEAN(PROPER(tblClean[[#This Row],[Category]])))</f>
        <v>Shopping</v>
      </c>
      <c r="F615" s="11" t="s">
        <v>1244</v>
      </c>
      <c r="G615" s="2" t="s">
        <v>8</v>
      </c>
      <c r="H615" s="15">
        <f>MONTH(tblClean[[#This Row],[Date]])</f>
        <v>2</v>
      </c>
      <c r="I615" s="15">
        <f>YEAR(tblClean[[#This Row],[Date]])</f>
        <v>2022</v>
      </c>
    </row>
    <row r="616" spans="1:9" x14ac:dyDescent="0.25">
      <c r="A616" s="6">
        <v>44617</v>
      </c>
      <c r="B616" s="1" t="s">
        <v>1245</v>
      </c>
      <c r="C616" s="3" t="str">
        <f>TRIM(CLEAN(PROPER(tblClean[[#This Row],[Transaction Description]])))</f>
        <v>Student Economic Lead.</v>
      </c>
      <c r="D616" s="1" t="s">
        <v>27</v>
      </c>
      <c r="E616" s="3" t="str">
        <f>TRIM(CLEAN(PROPER(tblClean[[#This Row],[Category]])))</f>
        <v>Other</v>
      </c>
      <c r="F616" s="10" t="s">
        <v>1246</v>
      </c>
      <c r="G616" s="1" t="s">
        <v>18</v>
      </c>
      <c r="H616" s="15">
        <f>MONTH(tblClean[[#This Row],[Date]])</f>
        <v>2</v>
      </c>
      <c r="I616" s="15">
        <f>YEAR(tblClean[[#This Row],[Date]])</f>
        <v>2022</v>
      </c>
    </row>
    <row r="617" spans="1:9" x14ac:dyDescent="0.25">
      <c r="A617" s="7">
        <v>44619</v>
      </c>
      <c r="B617" s="2" t="s">
        <v>1247</v>
      </c>
      <c r="C617" s="4" t="str">
        <f>TRIM(CLEAN(PROPER(tblClean[[#This Row],[Transaction Description]])))</f>
        <v>Ever Statement Measure.</v>
      </c>
      <c r="D617" s="2" t="s">
        <v>16</v>
      </c>
      <c r="E617" s="3" t="str">
        <f>TRIM(CLEAN(PROPER(tblClean[[#This Row],[Category]])))</f>
        <v>Investment</v>
      </c>
      <c r="F617" s="11" t="s">
        <v>1248</v>
      </c>
      <c r="G617" s="2" t="s">
        <v>18</v>
      </c>
      <c r="H617" s="15">
        <f>MONTH(tblClean[[#This Row],[Date]])</f>
        <v>2</v>
      </c>
      <c r="I617" s="15">
        <f>YEAR(tblClean[[#This Row],[Date]])</f>
        <v>2022</v>
      </c>
    </row>
    <row r="618" spans="1:9" x14ac:dyDescent="0.25">
      <c r="A618" s="6">
        <v>44621</v>
      </c>
      <c r="B618" s="1" t="s">
        <v>1249</v>
      </c>
      <c r="C618" s="3" t="str">
        <f>TRIM(CLEAN(PROPER(tblClean[[#This Row],[Transaction Description]])))</f>
        <v>Drop Major.</v>
      </c>
      <c r="D618" s="1" t="s">
        <v>38</v>
      </c>
      <c r="E618" s="3" t="str">
        <f>TRIM(CLEAN(PROPER(tblClean[[#This Row],[Category]])))</f>
        <v>Salary</v>
      </c>
      <c r="F618" s="10" t="s">
        <v>1250</v>
      </c>
      <c r="G618" s="1" t="s">
        <v>8</v>
      </c>
      <c r="H618" s="15">
        <f>MONTH(tblClean[[#This Row],[Date]])</f>
        <v>3</v>
      </c>
      <c r="I618" s="15">
        <f>YEAR(tblClean[[#This Row],[Date]])</f>
        <v>2022</v>
      </c>
    </row>
    <row r="619" spans="1:9" x14ac:dyDescent="0.25">
      <c r="A619" s="7">
        <v>44622</v>
      </c>
      <c r="B619" s="2" t="s">
        <v>1251</v>
      </c>
      <c r="C619" s="4" t="str">
        <f>TRIM(CLEAN(PROPER(tblClean[[#This Row],[Transaction Description]])))</f>
        <v>Whether Listen Necessary.</v>
      </c>
      <c r="D619" s="2" t="s">
        <v>27</v>
      </c>
      <c r="E619" s="3" t="str">
        <f>TRIM(CLEAN(PROPER(tblClean[[#This Row],[Category]])))</f>
        <v>Other</v>
      </c>
      <c r="F619" s="11" t="s">
        <v>1252</v>
      </c>
      <c r="G619" s="2" t="s">
        <v>18</v>
      </c>
      <c r="H619" s="15">
        <f>MONTH(tblClean[[#This Row],[Date]])</f>
        <v>3</v>
      </c>
      <c r="I619" s="15">
        <f>YEAR(tblClean[[#This Row],[Date]])</f>
        <v>2022</v>
      </c>
    </row>
    <row r="620" spans="1:9" x14ac:dyDescent="0.25">
      <c r="A620" s="6">
        <v>44624</v>
      </c>
      <c r="B620" s="1" t="s">
        <v>1253</v>
      </c>
      <c r="C620" s="3" t="str">
        <f>TRIM(CLEAN(PROPER(tblClean[[#This Row],[Transaction Description]])))</f>
        <v>Study Else Store.</v>
      </c>
      <c r="D620" s="1" t="s">
        <v>16</v>
      </c>
      <c r="E620" s="3" t="str">
        <f>TRIM(CLEAN(PROPER(tblClean[[#This Row],[Category]])))</f>
        <v>Investment</v>
      </c>
      <c r="F620" s="10" t="s">
        <v>1254</v>
      </c>
      <c r="G620" s="1" t="s">
        <v>18</v>
      </c>
      <c r="H620" s="15">
        <f>MONTH(tblClean[[#This Row],[Date]])</f>
        <v>3</v>
      </c>
      <c r="I620" s="15">
        <f>YEAR(tblClean[[#This Row],[Date]])</f>
        <v>2022</v>
      </c>
    </row>
    <row r="621" spans="1:9" x14ac:dyDescent="0.25">
      <c r="A621" s="7">
        <v>44625</v>
      </c>
      <c r="B621" s="2" t="s">
        <v>1255</v>
      </c>
      <c r="C621" s="4" t="str">
        <f>TRIM(CLEAN(PROPER(tblClean[[#This Row],[Transaction Description]])))</f>
        <v>Agree Anyone Take.</v>
      </c>
      <c r="D621" s="2" t="s">
        <v>27</v>
      </c>
      <c r="E621" s="3" t="str">
        <f>TRIM(CLEAN(PROPER(tblClean[[#This Row],[Category]])))</f>
        <v>Other</v>
      </c>
      <c r="F621" s="11" t="s">
        <v>1256</v>
      </c>
      <c r="G621" s="2" t="s">
        <v>18</v>
      </c>
      <c r="H621" s="15">
        <f>MONTH(tblClean[[#This Row],[Date]])</f>
        <v>3</v>
      </c>
      <c r="I621" s="15">
        <f>YEAR(tblClean[[#This Row],[Date]])</f>
        <v>2022</v>
      </c>
    </row>
    <row r="622" spans="1:9" x14ac:dyDescent="0.25">
      <c r="A622" s="7">
        <v>44627</v>
      </c>
      <c r="B622" s="2" t="s">
        <v>1259</v>
      </c>
      <c r="C622" s="4" t="str">
        <f>TRIM(CLEAN(PROPER(tblClean[[#This Row],[Transaction Description]])))</f>
        <v>After Sister Should Across Treatment.</v>
      </c>
      <c r="D622" s="2" t="s">
        <v>30</v>
      </c>
      <c r="E622" s="3" t="str">
        <f>TRIM(CLEAN(PROPER(tblClean[[#This Row],[Category]])))</f>
        <v>Entertainment</v>
      </c>
      <c r="F622" s="11" t="s">
        <v>1260</v>
      </c>
      <c r="G622" s="2" t="s">
        <v>8</v>
      </c>
      <c r="H622" s="15">
        <f>MONTH(tblClean[[#This Row],[Date]])</f>
        <v>3</v>
      </c>
      <c r="I622" s="15">
        <f>YEAR(tblClean[[#This Row],[Date]])</f>
        <v>2022</v>
      </c>
    </row>
    <row r="623" spans="1:9" x14ac:dyDescent="0.25">
      <c r="A623" s="6">
        <v>44627</v>
      </c>
      <c r="B623" s="1" t="s">
        <v>1257</v>
      </c>
      <c r="C623" s="3" t="str">
        <f>TRIM(CLEAN(PROPER(tblClean[[#This Row],[Transaction Description]])))</f>
        <v>Positive Question Especially.</v>
      </c>
      <c r="D623" s="1" t="s">
        <v>6</v>
      </c>
      <c r="E623" s="3" t="str">
        <f>TRIM(CLEAN(PROPER(tblClean[[#This Row],[Category]])))</f>
        <v>Food &amp; Drink</v>
      </c>
      <c r="F623" s="10" t="s">
        <v>1258</v>
      </c>
      <c r="G623" s="1" t="s">
        <v>8</v>
      </c>
      <c r="H623" s="15">
        <f>MONTH(tblClean[[#This Row],[Date]])</f>
        <v>3</v>
      </c>
      <c r="I623" s="15">
        <f>YEAR(tblClean[[#This Row],[Date]])</f>
        <v>2022</v>
      </c>
    </row>
    <row r="624" spans="1:9" x14ac:dyDescent="0.25">
      <c r="A624" s="6">
        <v>44632</v>
      </c>
      <c r="B624" s="1" t="s">
        <v>1261</v>
      </c>
      <c r="C624" s="3" t="str">
        <f>TRIM(CLEAN(PROPER(tblClean[[#This Row],[Transaction Description]])))</f>
        <v>Song Difference Part Wall Require.</v>
      </c>
      <c r="D624" s="1" t="s">
        <v>22</v>
      </c>
      <c r="E624" s="3" t="str">
        <f>TRIM(CLEAN(PROPER(tblClean[[#This Row],[Category]])))</f>
        <v>Shopping</v>
      </c>
      <c r="F624" s="10" t="s">
        <v>1262</v>
      </c>
      <c r="G624" s="1" t="s">
        <v>8</v>
      </c>
      <c r="H624" s="15">
        <f>MONTH(tblClean[[#This Row],[Date]])</f>
        <v>3</v>
      </c>
      <c r="I624" s="15">
        <f>YEAR(tblClean[[#This Row],[Date]])</f>
        <v>2022</v>
      </c>
    </row>
    <row r="625" spans="1:9" x14ac:dyDescent="0.25">
      <c r="A625" s="7">
        <v>44634</v>
      </c>
      <c r="B625" s="2" t="s">
        <v>1263</v>
      </c>
      <c r="C625" s="4" t="str">
        <f>TRIM(CLEAN(PROPER(tblClean[[#This Row],[Transaction Description]])))</f>
        <v>Time Surface Learn Design.</v>
      </c>
      <c r="D625" s="2" t="s">
        <v>13</v>
      </c>
      <c r="E625" s="3" t="str">
        <f>TRIM(CLEAN(PROPER(tblClean[[#This Row],[Category]])))</f>
        <v>Rent</v>
      </c>
      <c r="F625" s="11" t="s">
        <v>1264</v>
      </c>
      <c r="G625" s="2" t="s">
        <v>8</v>
      </c>
      <c r="H625" s="15">
        <f>MONTH(tblClean[[#This Row],[Date]])</f>
        <v>3</v>
      </c>
      <c r="I625" s="15">
        <f>YEAR(tblClean[[#This Row],[Date]])</f>
        <v>2022</v>
      </c>
    </row>
    <row r="626" spans="1:9" x14ac:dyDescent="0.25">
      <c r="A626" s="7">
        <v>44637</v>
      </c>
      <c r="B626" s="2" t="s">
        <v>1267</v>
      </c>
      <c r="C626" s="4" t="str">
        <f>TRIM(CLEAN(PROPER(tblClean[[#This Row],[Transaction Description]])))</f>
        <v>Positive Participant Fear Blue As.</v>
      </c>
      <c r="D626" s="2" t="s">
        <v>30</v>
      </c>
      <c r="E626" s="3" t="str">
        <f>TRIM(CLEAN(PROPER(tblClean[[#This Row],[Category]])))</f>
        <v>Entertainment</v>
      </c>
      <c r="F626" s="11" t="s">
        <v>1268</v>
      </c>
      <c r="G626" s="2" t="s">
        <v>8</v>
      </c>
      <c r="H626" s="15">
        <f>MONTH(tblClean[[#This Row],[Date]])</f>
        <v>3</v>
      </c>
      <c r="I626" s="15">
        <f>YEAR(tblClean[[#This Row],[Date]])</f>
        <v>2022</v>
      </c>
    </row>
    <row r="627" spans="1:9" x14ac:dyDescent="0.25">
      <c r="A627" s="6">
        <v>44637</v>
      </c>
      <c r="B627" s="1" t="s">
        <v>1265</v>
      </c>
      <c r="C627" s="3" t="str">
        <f>TRIM(CLEAN(PROPER(tblClean[[#This Row],[Transaction Description]])))</f>
        <v>Station However Bill Memory Production.</v>
      </c>
      <c r="D627" s="1" t="s">
        <v>16</v>
      </c>
      <c r="E627" s="3" t="str">
        <f>TRIM(CLEAN(PROPER(tblClean[[#This Row],[Category]])))</f>
        <v>Investment</v>
      </c>
      <c r="F627" s="10" t="s">
        <v>1266</v>
      </c>
      <c r="G627" s="1" t="s">
        <v>18</v>
      </c>
      <c r="H627" s="15">
        <f>MONTH(tblClean[[#This Row],[Date]])</f>
        <v>3</v>
      </c>
      <c r="I627" s="15">
        <f>YEAR(tblClean[[#This Row],[Date]])</f>
        <v>2022</v>
      </c>
    </row>
    <row r="628" spans="1:9" x14ac:dyDescent="0.25">
      <c r="A628" s="6">
        <v>44638</v>
      </c>
      <c r="B628" s="1" t="s">
        <v>1269</v>
      </c>
      <c r="C628" s="3" t="str">
        <f>TRIM(CLEAN(PROPER(tblClean[[#This Row],[Transaction Description]])))</f>
        <v>Technology End Represent Throughout.</v>
      </c>
      <c r="D628" s="1" t="s">
        <v>38</v>
      </c>
      <c r="E628" s="3" t="str">
        <f>TRIM(CLEAN(PROPER(tblClean[[#This Row],[Category]])))</f>
        <v>Salary</v>
      </c>
      <c r="F628" s="10" t="s">
        <v>1270</v>
      </c>
      <c r="G628" s="1" t="s">
        <v>8</v>
      </c>
      <c r="H628" s="15">
        <f>MONTH(tblClean[[#This Row],[Date]])</f>
        <v>3</v>
      </c>
      <c r="I628" s="15">
        <f>YEAR(tblClean[[#This Row],[Date]])</f>
        <v>2022</v>
      </c>
    </row>
    <row r="629" spans="1:9" x14ac:dyDescent="0.25">
      <c r="A629" s="7">
        <v>44638</v>
      </c>
      <c r="B629" s="2" t="s">
        <v>1271</v>
      </c>
      <c r="C629" s="4" t="str">
        <f>TRIM(CLEAN(PROPER(tblClean[[#This Row],[Transaction Description]])))</f>
        <v>Change She Tonight.</v>
      </c>
      <c r="D629" s="2" t="s">
        <v>53</v>
      </c>
      <c r="E629" s="3" t="str">
        <f>TRIM(CLEAN(PROPER(tblClean[[#This Row],[Category]])))</f>
        <v>Travel</v>
      </c>
      <c r="F629" s="11" t="s">
        <v>1272</v>
      </c>
      <c r="G629" s="2" t="s">
        <v>8</v>
      </c>
      <c r="H629" s="15">
        <f>MONTH(tblClean[[#This Row],[Date]])</f>
        <v>3</v>
      </c>
      <c r="I629" s="15">
        <f>YEAR(tblClean[[#This Row],[Date]])</f>
        <v>2022</v>
      </c>
    </row>
    <row r="630" spans="1:9" x14ac:dyDescent="0.25">
      <c r="A630" s="6">
        <v>44638</v>
      </c>
      <c r="B630" s="1" t="s">
        <v>1273</v>
      </c>
      <c r="C630" s="3" t="str">
        <f>TRIM(CLEAN(PROPER(tblClean[[#This Row],[Transaction Description]])))</f>
        <v>Race Return Pretty Young.</v>
      </c>
      <c r="D630" s="1" t="s">
        <v>53</v>
      </c>
      <c r="E630" s="3" t="str">
        <f>TRIM(CLEAN(PROPER(tblClean[[#This Row],[Category]])))</f>
        <v>Travel</v>
      </c>
      <c r="F630" s="10" t="s">
        <v>1274</v>
      </c>
      <c r="G630" s="1" t="s">
        <v>8</v>
      </c>
      <c r="H630" s="15">
        <f>MONTH(tblClean[[#This Row],[Date]])</f>
        <v>3</v>
      </c>
      <c r="I630" s="15">
        <f>YEAR(tblClean[[#This Row],[Date]])</f>
        <v>2022</v>
      </c>
    </row>
    <row r="631" spans="1:9" x14ac:dyDescent="0.25">
      <c r="A631" s="7">
        <v>44640</v>
      </c>
      <c r="B631" s="2" t="s">
        <v>1275</v>
      </c>
      <c r="C631" s="4" t="str">
        <f>TRIM(CLEAN(PROPER(tblClean[[#This Row],[Transaction Description]])))</f>
        <v>Identify Say On Yes.</v>
      </c>
      <c r="D631" s="2" t="s">
        <v>6</v>
      </c>
      <c r="E631" s="3" t="str">
        <f>TRIM(CLEAN(PROPER(tblClean[[#This Row],[Category]])))</f>
        <v>Food &amp; Drink</v>
      </c>
      <c r="F631" s="11" t="s">
        <v>1276</v>
      </c>
      <c r="G631" s="2" t="s">
        <v>8</v>
      </c>
      <c r="H631" s="15">
        <f>MONTH(tblClean[[#This Row],[Date]])</f>
        <v>3</v>
      </c>
      <c r="I631" s="15">
        <f>YEAR(tblClean[[#This Row],[Date]])</f>
        <v>2022</v>
      </c>
    </row>
    <row r="632" spans="1:9" x14ac:dyDescent="0.25">
      <c r="A632" s="6">
        <v>44640</v>
      </c>
      <c r="B632" s="1" t="s">
        <v>1277</v>
      </c>
      <c r="C632" s="3" t="str">
        <f>TRIM(CLEAN(PROPER(tblClean[[#This Row],[Transaction Description]])))</f>
        <v>Risk Develop Movement Size.</v>
      </c>
      <c r="D632" s="1" t="s">
        <v>10</v>
      </c>
      <c r="E632" s="3" t="str">
        <f>TRIM(CLEAN(PROPER(tblClean[[#This Row],[Category]])))</f>
        <v>Utilities</v>
      </c>
      <c r="F632" s="10" t="s">
        <v>1278</v>
      </c>
      <c r="G632" s="1" t="s">
        <v>8</v>
      </c>
      <c r="H632" s="15">
        <f>MONTH(tblClean[[#This Row],[Date]])</f>
        <v>3</v>
      </c>
      <c r="I632" s="15">
        <f>YEAR(tblClean[[#This Row],[Date]])</f>
        <v>2022</v>
      </c>
    </row>
    <row r="633" spans="1:9" x14ac:dyDescent="0.25">
      <c r="A633" s="7">
        <v>44642</v>
      </c>
      <c r="B633" s="2" t="s">
        <v>1279</v>
      </c>
      <c r="C633" s="4" t="str">
        <f>TRIM(CLEAN(PROPER(tblClean[[#This Row],[Transaction Description]])))</f>
        <v>Feel Color Price Next.</v>
      </c>
      <c r="D633" s="2" t="s">
        <v>53</v>
      </c>
      <c r="E633" s="3" t="str">
        <f>TRIM(CLEAN(PROPER(tblClean[[#This Row],[Category]])))</f>
        <v>Travel</v>
      </c>
      <c r="F633" s="11" t="s">
        <v>1280</v>
      </c>
      <c r="G633" s="2" t="s">
        <v>8</v>
      </c>
      <c r="H633" s="15">
        <f>MONTH(tblClean[[#This Row],[Date]])</f>
        <v>3</v>
      </c>
      <c r="I633" s="15">
        <f>YEAR(tblClean[[#This Row],[Date]])</f>
        <v>2022</v>
      </c>
    </row>
    <row r="634" spans="1:9" x14ac:dyDescent="0.25">
      <c r="A634" s="6">
        <v>44643</v>
      </c>
      <c r="B634" s="1" t="s">
        <v>1281</v>
      </c>
      <c r="C634" s="3" t="str">
        <f>TRIM(CLEAN(PROPER(tblClean[[#This Row],[Transaction Description]])))</f>
        <v>Likely Scientist.</v>
      </c>
      <c r="D634" s="1" t="s">
        <v>53</v>
      </c>
      <c r="E634" s="3" t="str">
        <f>TRIM(CLEAN(PROPER(tblClean[[#This Row],[Category]])))</f>
        <v>Travel</v>
      </c>
      <c r="F634" s="10" t="s">
        <v>1282</v>
      </c>
      <c r="G634" s="1" t="s">
        <v>8</v>
      </c>
      <c r="H634" s="15">
        <f>MONTH(tblClean[[#This Row],[Date]])</f>
        <v>3</v>
      </c>
      <c r="I634" s="15">
        <f>YEAR(tblClean[[#This Row],[Date]])</f>
        <v>2022</v>
      </c>
    </row>
    <row r="635" spans="1:9" x14ac:dyDescent="0.25">
      <c r="A635" s="7">
        <v>44643</v>
      </c>
      <c r="B635" s="2" t="s">
        <v>1283</v>
      </c>
      <c r="C635" s="4" t="str">
        <f>TRIM(CLEAN(PROPER(tblClean[[#This Row],[Transaction Description]])))</f>
        <v>Water Tonight Pressure.</v>
      </c>
      <c r="D635" s="2" t="s">
        <v>10</v>
      </c>
      <c r="E635" s="3" t="str">
        <f>TRIM(CLEAN(PROPER(tblClean[[#This Row],[Category]])))</f>
        <v>Utilities</v>
      </c>
      <c r="F635" s="11" t="s">
        <v>1284</v>
      </c>
      <c r="G635" s="2" t="s">
        <v>8</v>
      </c>
      <c r="H635" s="15">
        <f>MONTH(tblClean[[#This Row],[Date]])</f>
        <v>3</v>
      </c>
      <c r="I635" s="15">
        <f>YEAR(tblClean[[#This Row],[Date]])</f>
        <v>2022</v>
      </c>
    </row>
    <row r="636" spans="1:9" x14ac:dyDescent="0.25">
      <c r="A636" s="6">
        <v>44644</v>
      </c>
      <c r="B636" s="1" t="s">
        <v>1285</v>
      </c>
      <c r="C636" s="3" t="str">
        <f>TRIM(CLEAN(PROPER(tblClean[[#This Row],[Transaction Description]])))</f>
        <v>Development The Inside Thought.</v>
      </c>
      <c r="D636" s="1" t="s">
        <v>35</v>
      </c>
      <c r="E636" s="3" t="str">
        <f>TRIM(CLEAN(PROPER(tblClean[[#This Row],[Category]])))</f>
        <v>Health &amp; Fitness</v>
      </c>
      <c r="F636" s="10" t="s">
        <v>1286</v>
      </c>
      <c r="G636" s="1" t="s">
        <v>8</v>
      </c>
      <c r="H636" s="15">
        <f>MONTH(tblClean[[#This Row],[Date]])</f>
        <v>3</v>
      </c>
      <c r="I636" s="15">
        <f>YEAR(tblClean[[#This Row],[Date]])</f>
        <v>2022</v>
      </c>
    </row>
    <row r="637" spans="1:9" x14ac:dyDescent="0.25">
      <c r="A637" s="7">
        <v>44645</v>
      </c>
      <c r="B637" s="2" t="s">
        <v>1287</v>
      </c>
      <c r="C637" s="4" t="str">
        <f>TRIM(CLEAN(PROPER(tblClean[[#This Row],[Transaction Description]])))</f>
        <v>One Less Brother.</v>
      </c>
      <c r="D637" s="2" t="s">
        <v>38</v>
      </c>
      <c r="E637" s="3" t="str">
        <f>TRIM(CLEAN(PROPER(tblClean[[#This Row],[Category]])))</f>
        <v>Salary</v>
      </c>
      <c r="F637" s="11" t="s">
        <v>1288</v>
      </c>
      <c r="G637" s="2" t="s">
        <v>8</v>
      </c>
      <c r="H637" s="15">
        <f>MONTH(tblClean[[#This Row],[Date]])</f>
        <v>3</v>
      </c>
      <c r="I637" s="15">
        <f>YEAR(tblClean[[#This Row],[Date]])</f>
        <v>2022</v>
      </c>
    </row>
    <row r="638" spans="1:9" x14ac:dyDescent="0.25">
      <c r="A638" s="6">
        <v>44646</v>
      </c>
      <c r="B638" s="1" t="s">
        <v>1289</v>
      </c>
      <c r="C638" s="3" t="str">
        <f>TRIM(CLEAN(PROPER(tblClean[[#This Row],[Transaction Description]])))</f>
        <v>Oil Per Line Create Build.</v>
      </c>
      <c r="D638" s="1" t="s">
        <v>30</v>
      </c>
      <c r="E638" s="3" t="str">
        <f>TRIM(CLEAN(PROPER(tblClean[[#This Row],[Category]])))</f>
        <v>Entertainment</v>
      </c>
      <c r="F638" s="10" t="s">
        <v>1290</v>
      </c>
      <c r="G638" s="1" t="s">
        <v>8</v>
      </c>
      <c r="H638" s="15">
        <f>MONTH(tblClean[[#This Row],[Date]])</f>
        <v>3</v>
      </c>
      <c r="I638" s="15">
        <f>YEAR(tblClean[[#This Row],[Date]])</f>
        <v>2022</v>
      </c>
    </row>
    <row r="639" spans="1:9" x14ac:dyDescent="0.25">
      <c r="A639" s="7">
        <v>44647</v>
      </c>
      <c r="B639" s="2" t="s">
        <v>1291</v>
      </c>
      <c r="C639" s="4" t="str">
        <f>TRIM(CLEAN(PROPER(tblClean[[#This Row],[Transaction Description]])))</f>
        <v>Fear Approach Take Case Customer.</v>
      </c>
      <c r="D639" s="2" t="s">
        <v>13</v>
      </c>
      <c r="E639" s="3" t="str">
        <f>TRIM(CLEAN(PROPER(tblClean[[#This Row],[Category]])))</f>
        <v>Rent</v>
      </c>
      <c r="F639" s="11" t="s">
        <v>1292</v>
      </c>
      <c r="G639" s="2" t="s">
        <v>8</v>
      </c>
      <c r="H639" s="15">
        <f>MONTH(tblClean[[#This Row],[Date]])</f>
        <v>3</v>
      </c>
      <c r="I639" s="15">
        <f>YEAR(tblClean[[#This Row],[Date]])</f>
        <v>2022</v>
      </c>
    </row>
    <row r="640" spans="1:9" x14ac:dyDescent="0.25">
      <c r="A640" s="6">
        <v>44648</v>
      </c>
      <c r="B640" s="1" t="s">
        <v>1297</v>
      </c>
      <c r="C640" s="3" t="str">
        <f>TRIM(CLEAN(PROPER(tblClean[[#This Row],[Transaction Description]])))</f>
        <v>Decide Similar Office.</v>
      </c>
      <c r="D640" s="1" t="s">
        <v>30</v>
      </c>
      <c r="E640" s="3" t="str">
        <f>TRIM(CLEAN(PROPER(tblClean[[#This Row],[Category]])))</f>
        <v>Entertainment</v>
      </c>
      <c r="F640" s="10" t="s">
        <v>1298</v>
      </c>
      <c r="G640" s="1" t="s">
        <v>8</v>
      </c>
      <c r="H640" s="15">
        <f>MONTH(tblClean[[#This Row],[Date]])</f>
        <v>3</v>
      </c>
      <c r="I640" s="15">
        <f>YEAR(tblClean[[#This Row],[Date]])</f>
        <v>2022</v>
      </c>
    </row>
    <row r="641" spans="1:9" x14ac:dyDescent="0.25">
      <c r="A641" s="7">
        <v>44648</v>
      </c>
      <c r="B641" s="2" t="s">
        <v>1295</v>
      </c>
      <c r="C641" s="4" t="str">
        <f>TRIM(CLEAN(PROPER(tblClean[[#This Row],[Transaction Description]])))</f>
        <v>Forward Would Finish Around.</v>
      </c>
      <c r="D641" s="2" t="s">
        <v>6</v>
      </c>
      <c r="E641" s="3" t="str">
        <f>TRIM(CLEAN(PROPER(tblClean[[#This Row],[Category]])))</f>
        <v>Food &amp; Drink</v>
      </c>
      <c r="F641" s="11" t="s">
        <v>1296</v>
      </c>
      <c r="G641" s="2" t="s">
        <v>8</v>
      </c>
      <c r="H641" s="15">
        <f>MONTH(tblClean[[#This Row],[Date]])</f>
        <v>3</v>
      </c>
      <c r="I641" s="15">
        <f>YEAR(tblClean[[#This Row],[Date]])</f>
        <v>2022</v>
      </c>
    </row>
    <row r="642" spans="1:9" x14ac:dyDescent="0.25">
      <c r="A642" s="6">
        <v>44648</v>
      </c>
      <c r="B642" s="1" t="s">
        <v>1293</v>
      </c>
      <c r="C642" s="3" t="str">
        <f>TRIM(CLEAN(PROPER(tblClean[[#This Row],[Transaction Description]])))</f>
        <v>Throughout Would Century Television Congress.</v>
      </c>
      <c r="D642" s="1" t="s">
        <v>35</v>
      </c>
      <c r="E642" s="3" t="str">
        <f>TRIM(CLEAN(PROPER(tblClean[[#This Row],[Category]])))</f>
        <v>Health &amp; Fitness</v>
      </c>
      <c r="F642" s="10" t="s">
        <v>1294</v>
      </c>
      <c r="G642" s="1" t="s">
        <v>8</v>
      </c>
      <c r="H642" s="15">
        <f>MONTH(tblClean[[#This Row],[Date]])</f>
        <v>3</v>
      </c>
      <c r="I642" s="15">
        <f>YEAR(tblClean[[#This Row],[Date]])</f>
        <v>2022</v>
      </c>
    </row>
    <row r="643" spans="1:9" x14ac:dyDescent="0.25">
      <c r="A643" s="7">
        <v>44648</v>
      </c>
      <c r="B643" s="2" t="s">
        <v>1299</v>
      </c>
      <c r="C643" s="4" t="str">
        <f>TRIM(CLEAN(PROPER(tblClean[[#This Row],[Transaction Description]])))</f>
        <v>Size Sister Can Its.</v>
      </c>
      <c r="D643" s="2" t="s">
        <v>27</v>
      </c>
      <c r="E643" s="3" t="str">
        <f>TRIM(CLEAN(PROPER(tblClean[[#This Row],[Category]])))</f>
        <v>Other</v>
      </c>
      <c r="F643" s="11" t="s">
        <v>1300</v>
      </c>
      <c r="G643" s="2" t="s">
        <v>18</v>
      </c>
      <c r="H643" s="15">
        <f>MONTH(tblClean[[#This Row],[Date]])</f>
        <v>3</v>
      </c>
      <c r="I643" s="15">
        <f>YEAR(tblClean[[#This Row],[Date]])</f>
        <v>2022</v>
      </c>
    </row>
    <row r="644" spans="1:9" x14ac:dyDescent="0.25">
      <c r="A644" s="6">
        <v>44649</v>
      </c>
      <c r="B644" s="1" t="s">
        <v>1301</v>
      </c>
      <c r="C644" s="3" t="str">
        <f>TRIM(CLEAN(PROPER(tblClean[[#This Row],[Transaction Description]])))</f>
        <v>Investment Local Above Move.</v>
      </c>
      <c r="D644" s="1" t="s">
        <v>30</v>
      </c>
      <c r="E644" s="3" t="str">
        <f>TRIM(CLEAN(PROPER(tblClean[[#This Row],[Category]])))</f>
        <v>Entertainment</v>
      </c>
      <c r="F644" s="10" t="s">
        <v>1302</v>
      </c>
      <c r="G644" s="1" t="s">
        <v>8</v>
      </c>
      <c r="H644" s="15">
        <f>MONTH(tblClean[[#This Row],[Date]])</f>
        <v>3</v>
      </c>
      <c r="I644" s="15">
        <f>YEAR(tblClean[[#This Row],[Date]])</f>
        <v>2022</v>
      </c>
    </row>
    <row r="645" spans="1:9" x14ac:dyDescent="0.25">
      <c r="A645" s="7">
        <v>44649</v>
      </c>
      <c r="B645" s="2" t="s">
        <v>1303</v>
      </c>
      <c r="C645" s="4" t="str">
        <f>TRIM(CLEAN(PROPER(tblClean[[#This Row],[Transaction Description]])))</f>
        <v>Throughout Series.</v>
      </c>
      <c r="D645" s="2" t="s">
        <v>38</v>
      </c>
      <c r="E645" s="3" t="str">
        <f>TRIM(CLEAN(PROPER(tblClean[[#This Row],[Category]])))</f>
        <v>Salary</v>
      </c>
      <c r="F645" s="11" t="s">
        <v>1304</v>
      </c>
      <c r="G645" s="2" t="s">
        <v>8</v>
      </c>
      <c r="H645" s="15">
        <f>MONTH(tblClean[[#This Row],[Date]])</f>
        <v>3</v>
      </c>
      <c r="I645" s="15">
        <f>YEAR(tblClean[[#This Row],[Date]])</f>
        <v>2022</v>
      </c>
    </row>
    <row r="646" spans="1:9" x14ac:dyDescent="0.25">
      <c r="A646" s="7">
        <v>44651</v>
      </c>
      <c r="B646" s="2" t="s">
        <v>1307</v>
      </c>
      <c r="C646" s="4" t="str">
        <f>TRIM(CLEAN(PROPER(tblClean[[#This Row],[Transaction Description]])))</f>
        <v>Fine Bill Me Fill.</v>
      </c>
      <c r="D646" s="2" t="s">
        <v>27</v>
      </c>
      <c r="E646" s="3" t="str">
        <f>TRIM(CLEAN(PROPER(tblClean[[#This Row],[Category]])))</f>
        <v>Other</v>
      </c>
      <c r="F646" s="11" t="s">
        <v>1308</v>
      </c>
      <c r="G646" s="2" t="s">
        <v>18</v>
      </c>
      <c r="H646" s="15">
        <f>MONTH(tblClean[[#This Row],[Date]])</f>
        <v>3</v>
      </c>
      <c r="I646" s="15">
        <f>YEAR(tblClean[[#This Row],[Date]])</f>
        <v>2022</v>
      </c>
    </row>
    <row r="647" spans="1:9" x14ac:dyDescent="0.25">
      <c r="A647" s="6">
        <v>44651</v>
      </c>
      <c r="B647" s="1" t="s">
        <v>1305</v>
      </c>
      <c r="C647" s="3" t="str">
        <f>TRIM(CLEAN(PROPER(tblClean[[#This Row],[Transaction Description]])))</f>
        <v>Adult Above Safe.</v>
      </c>
      <c r="D647" s="1" t="s">
        <v>22</v>
      </c>
      <c r="E647" s="3" t="str">
        <f>TRIM(CLEAN(PROPER(tblClean[[#This Row],[Category]])))</f>
        <v>Shopping</v>
      </c>
      <c r="F647" s="10" t="s">
        <v>1306</v>
      </c>
      <c r="G647" s="1" t="s">
        <v>8</v>
      </c>
      <c r="H647" s="15">
        <f>MONTH(tblClean[[#This Row],[Date]])</f>
        <v>3</v>
      </c>
      <c r="I647" s="15">
        <f>YEAR(tblClean[[#This Row],[Date]])</f>
        <v>2022</v>
      </c>
    </row>
    <row r="648" spans="1:9" x14ac:dyDescent="0.25">
      <c r="A648" s="6">
        <v>44651</v>
      </c>
      <c r="B648" s="1" t="s">
        <v>1309</v>
      </c>
      <c r="C648" s="3" t="str">
        <f>TRIM(CLEAN(PROPER(tblClean[[#This Row],[Transaction Description]])))</f>
        <v>Fear Fact.</v>
      </c>
      <c r="D648" s="1" t="s">
        <v>22</v>
      </c>
      <c r="E648" s="3" t="str">
        <f>TRIM(CLEAN(PROPER(tblClean[[#This Row],[Category]])))</f>
        <v>Shopping</v>
      </c>
      <c r="F648" s="10" t="s">
        <v>1310</v>
      </c>
      <c r="G648" s="1" t="s">
        <v>8</v>
      </c>
      <c r="H648" s="15">
        <f>MONTH(tblClean[[#This Row],[Date]])</f>
        <v>3</v>
      </c>
      <c r="I648" s="15">
        <f>YEAR(tblClean[[#This Row],[Date]])</f>
        <v>2022</v>
      </c>
    </row>
    <row r="649" spans="1:9" x14ac:dyDescent="0.25">
      <c r="A649" s="7">
        <v>44652</v>
      </c>
      <c r="B649" s="2" t="s">
        <v>1315</v>
      </c>
      <c r="C649" s="4" t="str">
        <f>TRIM(CLEAN(PROPER(tblClean[[#This Row],[Transaction Description]])))</f>
        <v>Difference World Deep.</v>
      </c>
      <c r="D649" s="2" t="s">
        <v>6</v>
      </c>
      <c r="E649" s="3" t="str">
        <f>TRIM(CLEAN(PROPER(tblClean[[#This Row],[Category]])))</f>
        <v>Food &amp; Drink</v>
      </c>
      <c r="F649" s="11" t="s">
        <v>1316</v>
      </c>
      <c r="G649" s="2" t="s">
        <v>8</v>
      </c>
      <c r="H649" s="15">
        <f>MONTH(tblClean[[#This Row],[Date]])</f>
        <v>4</v>
      </c>
      <c r="I649" s="15">
        <f>YEAR(tblClean[[#This Row],[Date]])</f>
        <v>2022</v>
      </c>
    </row>
    <row r="650" spans="1:9" x14ac:dyDescent="0.25">
      <c r="A650" s="7">
        <v>44652</v>
      </c>
      <c r="B650" s="2" t="s">
        <v>1311</v>
      </c>
      <c r="C650" s="4" t="str">
        <f>TRIM(CLEAN(PROPER(tblClean[[#This Row],[Transaction Description]])))</f>
        <v>Model Its Rather Card You.</v>
      </c>
      <c r="D650" s="2" t="s">
        <v>16</v>
      </c>
      <c r="E650" s="3" t="str">
        <f>TRIM(CLEAN(PROPER(tblClean[[#This Row],[Category]])))</f>
        <v>Investment</v>
      </c>
      <c r="F650" s="11" t="s">
        <v>1312</v>
      </c>
      <c r="G650" s="2" t="s">
        <v>18</v>
      </c>
      <c r="H650" s="15">
        <f>MONTH(tblClean[[#This Row],[Date]])</f>
        <v>4</v>
      </c>
      <c r="I650" s="15">
        <f>YEAR(tblClean[[#This Row],[Date]])</f>
        <v>2022</v>
      </c>
    </row>
    <row r="651" spans="1:9" x14ac:dyDescent="0.25">
      <c r="A651" s="6">
        <v>44652</v>
      </c>
      <c r="B651" s="1" t="s">
        <v>1313</v>
      </c>
      <c r="C651" s="3" t="str">
        <f>TRIM(CLEAN(PROPER(tblClean[[#This Row],[Transaction Description]])))</f>
        <v>Seek Close Trade Speech.</v>
      </c>
      <c r="D651" s="1" t="s">
        <v>27</v>
      </c>
      <c r="E651" s="3" t="str">
        <f>TRIM(CLEAN(PROPER(tblClean[[#This Row],[Category]])))</f>
        <v>Other</v>
      </c>
      <c r="F651" s="10" t="s">
        <v>1314</v>
      </c>
      <c r="G651" s="1" t="s">
        <v>18</v>
      </c>
      <c r="H651" s="15">
        <f>MONTH(tblClean[[#This Row],[Date]])</f>
        <v>4</v>
      </c>
      <c r="I651" s="15">
        <f>YEAR(tblClean[[#This Row],[Date]])</f>
        <v>2022</v>
      </c>
    </row>
    <row r="652" spans="1:9" x14ac:dyDescent="0.25">
      <c r="A652" s="6">
        <v>44652</v>
      </c>
      <c r="B652" s="1" t="s">
        <v>1317</v>
      </c>
      <c r="C652" s="3" t="str">
        <f>TRIM(CLEAN(PROPER(tblClean[[#This Row],[Transaction Description]])))</f>
        <v>Mean But Represent Society Heart.</v>
      </c>
      <c r="D652" s="1" t="s">
        <v>27</v>
      </c>
      <c r="E652" s="3" t="str">
        <f>TRIM(CLEAN(PROPER(tblClean[[#This Row],[Category]])))</f>
        <v>Other</v>
      </c>
      <c r="F652" s="10" t="s">
        <v>1318</v>
      </c>
      <c r="G652" s="1" t="s">
        <v>18</v>
      </c>
      <c r="H652" s="15">
        <f>MONTH(tblClean[[#This Row],[Date]])</f>
        <v>4</v>
      </c>
      <c r="I652" s="15">
        <f>YEAR(tblClean[[#This Row],[Date]])</f>
        <v>2022</v>
      </c>
    </row>
    <row r="653" spans="1:9" x14ac:dyDescent="0.25">
      <c r="A653" s="6">
        <v>44653</v>
      </c>
      <c r="B653" s="1" t="s">
        <v>1321</v>
      </c>
      <c r="C653" s="3" t="str">
        <f>TRIM(CLEAN(PROPER(tblClean[[#This Row],[Transaction Description]])))</f>
        <v>Indicate Herself.</v>
      </c>
      <c r="D653" s="1" t="s">
        <v>22</v>
      </c>
      <c r="E653" s="3" t="str">
        <f>TRIM(CLEAN(PROPER(tblClean[[#This Row],[Category]])))</f>
        <v>Shopping</v>
      </c>
      <c r="F653" s="10" t="s">
        <v>1322</v>
      </c>
      <c r="G653" s="1" t="s">
        <v>8</v>
      </c>
      <c r="H653" s="15">
        <f>MONTH(tblClean[[#This Row],[Date]])</f>
        <v>4</v>
      </c>
      <c r="I653" s="15">
        <f>YEAR(tblClean[[#This Row],[Date]])</f>
        <v>2022</v>
      </c>
    </row>
    <row r="654" spans="1:9" x14ac:dyDescent="0.25">
      <c r="A654" s="7">
        <v>44653</v>
      </c>
      <c r="B654" s="2" t="s">
        <v>1319</v>
      </c>
      <c r="C654" s="4" t="str">
        <f>TRIM(CLEAN(PROPER(tblClean[[#This Row],[Transaction Description]])))</f>
        <v>Perhaps Order Answer Blue Structure.</v>
      </c>
      <c r="D654" s="2" t="s">
        <v>10</v>
      </c>
      <c r="E654" s="3" t="str">
        <f>TRIM(CLEAN(PROPER(tblClean[[#This Row],[Category]])))</f>
        <v>Utilities</v>
      </c>
      <c r="F654" s="11" t="s">
        <v>1320</v>
      </c>
      <c r="G654" s="2" t="s">
        <v>8</v>
      </c>
      <c r="H654" s="15">
        <f>MONTH(tblClean[[#This Row],[Date]])</f>
        <v>4</v>
      </c>
      <c r="I654" s="15">
        <f>YEAR(tblClean[[#This Row],[Date]])</f>
        <v>2022</v>
      </c>
    </row>
    <row r="655" spans="1:9" x14ac:dyDescent="0.25">
      <c r="A655" s="7">
        <v>44654</v>
      </c>
      <c r="B655" s="2" t="s">
        <v>1323</v>
      </c>
      <c r="C655" s="4" t="str">
        <f>TRIM(CLEAN(PROPER(tblClean[[#This Row],[Transaction Description]])))</f>
        <v>Listen Check Receive.</v>
      </c>
      <c r="D655" s="2" t="s">
        <v>38</v>
      </c>
      <c r="E655" s="3" t="str">
        <f>TRIM(CLEAN(PROPER(tblClean[[#This Row],[Category]])))</f>
        <v>Salary</v>
      </c>
      <c r="F655" s="11" t="s">
        <v>1324</v>
      </c>
      <c r="G655" s="2" t="s">
        <v>8</v>
      </c>
      <c r="H655" s="15">
        <f>MONTH(tblClean[[#This Row],[Date]])</f>
        <v>4</v>
      </c>
      <c r="I655" s="15">
        <f>YEAR(tblClean[[#This Row],[Date]])</f>
        <v>2022</v>
      </c>
    </row>
    <row r="656" spans="1:9" x14ac:dyDescent="0.25">
      <c r="A656" s="6">
        <v>44654</v>
      </c>
      <c r="B656" s="1" t="s">
        <v>1325</v>
      </c>
      <c r="C656" s="3" t="str">
        <f>TRIM(CLEAN(PROPER(tblClean[[#This Row],[Transaction Description]])))</f>
        <v>Inside Big Minute.</v>
      </c>
      <c r="D656" s="1" t="s">
        <v>22</v>
      </c>
      <c r="E656" s="3" t="str">
        <f>TRIM(CLEAN(PROPER(tblClean[[#This Row],[Category]])))</f>
        <v>Shopping</v>
      </c>
      <c r="F656" s="10" t="s">
        <v>1326</v>
      </c>
      <c r="G656" s="1" t="s">
        <v>8</v>
      </c>
      <c r="H656" s="15">
        <f>MONTH(tblClean[[#This Row],[Date]])</f>
        <v>4</v>
      </c>
      <c r="I656" s="15">
        <f>YEAR(tblClean[[#This Row],[Date]])</f>
        <v>2022</v>
      </c>
    </row>
    <row r="657" spans="1:9" x14ac:dyDescent="0.25">
      <c r="A657" s="7">
        <v>44655</v>
      </c>
      <c r="B657" s="2" t="s">
        <v>1327</v>
      </c>
      <c r="C657" s="4" t="str">
        <f>TRIM(CLEAN(PROPER(tblClean[[#This Row],[Transaction Description]])))</f>
        <v>Store Bit Responsibility Brother.</v>
      </c>
      <c r="D657" s="2" t="s">
        <v>10</v>
      </c>
      <c r="E657" s="3" t="str">
        <f>TRIM(CLEAN(PROPER(tblClean[[#This Row],[Category]])))</f>
        <v>Utilities</v>
      </c>
      <c r="F657" s="11" t="s">
        <v>1328</v>
      </c>
      <c r="G657" s="2" t="s">
        <v>8</v>
      </c>
      <c r="H657" s="15">
        <f>MONTH(tblClean[[#This Row],[Date]])</f>
        <v>4</v>
      </c>
      <c r="I657" s="15">
        <f>YEAR(tblClean[[#This Row],[Date]])</f>
        <v>2022</v>
      </c>
    </row>
    <row r="658" spans="1:9" x14ac:dyDescent="0.25">
      <c r="A658" s="6">
        <v>44656</v>
      </c>
      <c r="B658" s="1" t="s">
        <v>1329</v>
      </c>
      <c r="C658" s="3" t="str">
        <f>TRIM(CLEAN(PROPER(tblClean[[#This Row],[Transaction Description]])))</f>
        <v>Marriage Participant.</v>
      </c>
      <c r="D658" s="1" t="s">
        <v>10</v>
      </c>
      <c r="E658" s="3" t="str">
        <f>TRIM(CLEAN(PROPER(tblClean[[#This Row],[Category]])))</f>
        <v>Utilities</v>
      </c>
      <c r="F658" s="10" t="s">
        <v>1330</v>
      </c>
      <c r="G658" s="1" t="s">
        <v>8</v>
      </c>
      <c r="H658" s="15">
        <f>MONTH(tblClean[[#This Row],[Date]])</f>
        <v>4</v>
      </c>
      <c r="I658" s="15">
        <f>YEAR(tblClean[[#This Row],[Date]])</f>
        <v>2022</v>
      </c>
    </row>
    <row r="659" spans="1:9" x14ac:dyDescent="0.25">
      <c r="A659" s="7">
        <v>44659</v>
      </c>
      <c r="B659" s="2" t="s">
        <v>1331</v>
      </c>
      <c r="C659" s="4" t="str">
        <f>TRIM(CLEAN(PROPER(tblClean[[#This Row],[Transaction Description]])))</f>
        <v>Win Group Important Civil Nature.</v>
      </c>
      <c r="D659" s="2" t="s">
        <v>10</v>
      </c>
      <c r="E659" s="3" t="str">
        <f>TRIM(CLEAN(PROPER(tblClean[[#This Row],[Category]])))</f>
        <v>Utilities</v>
      </c>
      <c r="F659" s="11" t="s">
        <v>1332</v>
      </c>
      <c r="G659" s="2" t="s">
        <v>8</v>
      </c>
      <c r="H659" s="15">
        <f>MONTH(tblClean[[#This Row],[Date]])</f>
        <v>4</v>
      </c>
      <c r="I659" s="15">
        <f>YEAR(tblClean[[#This Row],[Date]])</f>
        <v>2022</v>
      </c>
    </row>
    <row r="660" spans="1:9" x14ac:dyDescent="0.25">
      <c r="A660" s="6">
        <v>44660</v>
      </c>
      <c r="B660" s="1" t="s">
        <v>1333</v>
      </c>
      <c r="C660" s="3" t="str">
        <f>TRIM(CLEAN(PROPER(tblClean[[#This Row],[Transaction Description]])))</f>
        <v>Former Able Public Trade.</v>
      </c>
      <c r="D660" s="1" t="s">
        <v>6</v>
      </c>
      <c r="E660" s="3" t="str">
        <f>TRIM(CLEAN(PROPER(tblClean[[#This Row],[Category]])))</f>
        <v>Food &amp; Drink</v>
      </c>
      <c r="F660" s="10" t="s">
        <v>1334</v>
      </c>
      <c r="G660" s="1" t="s">
        <v>8</v>
      </c>
      <c r="H660" s="15">
        <f>MONTH(tblClean[[#This Row],[Date]])</f>
        <v>4</v>
      </c>
      <c r="I660" s="15">
        <f>YEAR(tblClean[[#This Row],[Date]])</f>
        <v>2022</v>
      </c>
    </row>
    <row r="661" spans="1:9" x14ac:dyDescent="0.25">
      <c r="A661" s="7">
        <v>44660</v>
      </c>
      <c r="B661" s="2" t="s">
        <v>1335</v>
      </c>
      <c r="C661" s="4" t="str">
        <f>TRIM(CLEAN(PROPER(tblClean[[#This Row],[Transaction Description]])))</f>
        <v>Chance Bed Memory Rich.</v>
      </c>
      <c r="D661" s="2" t="s">
        <v>38</v>
      </c>
      <c r="E661" s="3" t="str">
        <f>TRIM(CLEAN(PROPER(tblClean[[#This Row],[Category]])))</f>
        <v>Salary</v>
      </c>
      <c r="F661" s="11" t="s">
        <v>1336</v>
      </c>
      <c r="G661" s="2" t="s">
        <v>8</v>
      </c>
      <c r="H661" s="15">
        <f>MONTH(tblClean[[#This Row],[Date]])</f>
        <v>4</v>
      </c>
      <c r="I661" s="15">
        <f>YEAR(tblClean[[#This Row],[Date]])</f>
        <v>2022</v>
      </c>
    </row>
    <row r="662" spans="1:9" x14ac:dyDescent="0.25">
      <c r="A662" s="7">
        <v>44661</v>
      </c>
      <c r="B662" s="2" t="s">
        <v>1339</v>
      </c>
      <c r="C662" s="4" t="str">
        <f>TRIM(CLEAN(PROPER(tblClean[[#This Row],[Transaction Description]])))</f>
        <v>Anyone Spend Them System.</v>
      </c>
      <c r="D662" s="2" t="s">
        <v>35</v>
      </c>
      <c r="E662" s="3" t="str">
        <f>TRIM(CLEAN(PROPER(tblClean[[#This Row],[Category]])))</f>
        <v>Health &amp; Fitness</v>
      </c>
      <c r="F662" s="11" t="s">
        <v>1340</v>
      </c>
      <c r="G662" s="2" t="s">
        <v>8</v>
      </c>
      <c r="H662" s="15">
        <f>MONTH(tblClean[[#This Row],[Date]])</f>
        <v>4</v>
      </c>
      <c r="I662" s="15">
        <f>YEAR(tblClean[[#This Row],[Date]])</f>
        <v>2022</v>
      </c>
    </row>
    <row r="663" spans="1:9" x14ac:dyDescent="0.25">
      <c r="A663" s="6">
        <v>44661</v>
      </c>
      <c r="B663" s="1" t="s">
        <v>1337</v>
      </c>
      <c r="C663" s="3" t="str">
        <f>TRIM(CLEAN(PROPER(tblClean[[#This Row],[Transaction Description]])))</f>
        <v>Popular Lead With.</v>
      </c>
      <c r="D663" s="1" t="s">
        <v>22</v>
      </c>
      <c r="E663" s="3" t="str">
        <f>TRIM(CLEAN(PROPER(tblClean[[#This Row],[Category]])))</f>
        <v>Shopping</v>
      </c>
      <c r="F663" s="10" t="s">
        <v>1338</v>
      </c>
      <c r="G663" s="1" t="s">
        <v>8</v>
      </c>
      <c r="H663" s="15">
        <f>MONTH(tblClean[[#This Row],[Date]])</f>
        <v>4</v>
      </c>
      <c r="I663" s="15">
        <f>YEAR(tblClean[[#This Row],[Date]])</f>
        <v>2022</v>
      </c>
    </row>
    <row r="664" spans="1:9" x14ac:dyDescent="0.25">
      <c r="A664" s="6">
        <v>44667</v>
      </c>
      <c r="B664" s="1" t="s">
        <v>1341</v>
      </c>
      <c r="C664" s="3" t="str">
        <f>TRIM(CLEAN(PROPER(tblClean[[#This Row],[Transaction Description]])))</f>
        <v>International Break Surface Three.</v>
      </c>
      <c r="D664" s="1" t="s">
        <v>16</v>
      </c>
      <c r="E664" s="3" t="str">
        <f>TRIM(CLEAN(PROPER(tblClean[[#This Row],[Category]])))</f>
        <v>Investment</v>
      </c>
      <c r="F664" s="10" t="s">
        <v>1342</v>
      </c>
      <c r="G664" s="1" t="s">
        <v>18</v>
      </c>
      <c r="H664" s="15">
        <f>MONTH(tblClean[[#This Row],[Date]])</f>
        <v>4</v>
      </c>
      <c r="I664" s="15">
        <f>YEAR(tblClean[[#This Row],[Date]])</f>
        <v>2022</v>
      </c>
    </row>
    <row r="665" spans="1:9" x14ac:dyDescent="0.25">
      <c r="A665" s="6">
        <v>44669</v>
      </c>
      <c r="B665" s="1" t="s">
        <v>1345</v>
      </c>
      <c r="C665" s="3" t="str">
        <f>TRIM(CLEAN(PROPER(tblClean[[#This Row],[Transaction Description]])))</f>
        <v>Environmental Run Head Garden Box.</v>
      </c>
      <c r="D665" s="1" t="s">
        <v>6</v>
      </c>
      <c r="E665" s="3" t="str">
        <f>TRIM(CLEAN(PROPER(tblClean[[#This Row],[Category]])))</f>
        <v>Food &amp; Drink</v>
      </c>
      <c r="F665" s="10" t="s">
        <v>1346</v>
      </c>
      <c r="G665" s="1" t="s">
        <v>8</v>
      </c>
      <c r="H665" s="15">
        <f>MONTH(tblClean[[#This Row],[Date]])</f>
        <v>4</v>
      </c>
      <c r="I665" s="15">
        <f>YEAR(tblClean[[#This Row],[Date]])</f>
        <v>2022</v>
      </c>
    </row>
    <row r="666" spans="1:9" x14ac:dyDescent="0.25">
      <c r="A666" s="7">
        <v>44669</v>
      </c>
      <c r="B666" s="2" t="s">
        <v>1343</v>
      </c>
      <c r="C666" s="4" t="str">
        <f>TRIM(CLEAN(PROPER(tblClean[[#This Row],[Transaction Description]])))</f>
        <v>Professional Color Group.</v>
      </c>
      <c r="D666" s="2" t="s">
        <v>22</v>
      </c>
      <c r="E666" s="3" t="str">
        <f>TRIM(CLEAN(PROPER(tblClean[[#This Row],[Category]])))</f>
        <v>Shopping</v>
      </c>
      <c r="F666" s="11" t="s">
        <v>1344</v>
      </c>
      <c r="G666" s="2" t="s">
        <v>8</v>
      </c>
      <c r="H666" s="15">
        <f>MONTH(tblClean[[#This Row],[Date]])</f>
        <v>4</v>
      </c>
      <c r="I666" s="15">
        <f>YEAR(tblClean[[#This Row],[Date]])</f>
        <v>2022</v>
      </c>
    </row>
    <row r="667" spans="1:9" x14ac:dyDescent="0.25">
      <c r="A667" s="7">
        <v>44672</v>
      </c>
      <c r="B667" s="2" t="s">
        <v>1347</v>
      </c>
      <c r="C667" s="4" t="str">
        <f>TRIM(CLEAN(PROPER(tblClean[[#This Row],[Transaction Description]])))</f>
        <v>Even History Surface Son.</v>
      </c>
      <c r="D667" s="2" t="s">
        <v>16</v>
      </c>
      <c r="E667" s="3" t="str">
        <f>TRIM(CLEAN(PROPER(tblClean[[#This Row],[Category]])))</f>
        <v>Investment</v>
      </c>
      <c r="F667" s="11" t="s">
        <v>1348</v>
      </c>
      <c r="G667" s="2" t="s">
        <v>18</v>
      </c>
      <c r="H667" s="15">
        <f>MONTH(tblClean[[#This Row],[Date]])</f>
        <v>4</v>
      </c>
      <c r="I667" s="15">
        <f>YEAR(tblClean[[#This Row],[Date]])</f>
        <v>2022</v>
      </c>
    </row>
    <row r="668" spans="1:9" x14ac:dyDescent="0.25">
      <c r="A668" s="6">
        <v>44673</v>
      </c>
      <c r="B668" s="1" t="s">
        <v>1349</v>
      </c>
      <c r="C668" s="3" t="str">
        <f>TRIM(CLEAN(PROPER(tblClean[[#This Row],[Transaction Description]])))</f>
        <v>Car Risk.</v>
      </c>
      <c r="D668" s="1" t="s">
        <v>6</v>
      </c>
      <c r="E668" s="3" t="str">
        <f>TRIM(CLEAN(PROPER(tblClean[[#This Row],[Category]])))</f>
        <v>Food &amp; Drink</v>
      </c>
      <c r="F668" s="10" t="s">
        <v>1350</v>
      </c>
      <c r="G668" s="1" t="s">
        <v>8</v>
      </c>
      <c r="H668" s="15">
        <f>MONTH(tblClean[[#This Row],[Date]])</f>
        <v>4</v>
      </c>
      <c r="I668" s="15">
        <f>YEAR(tblClean[[#This Row],[Date]])</f>
        <v>2022</v>
      </c>
    </row>
    <row r="669" spans="1:9" x14ac:dyDescent="0.25">
      <c r="A669" s="7">
        <v>44673</v>
      </c>
      <c r="B669" s="2" t="s">
        <v>1351</v>
      </c>
      <c r="C669" s="4" t="str">
        <f>TRIM(CLEAN(PROPER(tblClean[[#This Row],[Transaction Description]])))</f>
        <v>Indeed Opportunity.</v>
      </c>
      <c r="D669" s="2" t="s">
        <v>27</v>
      </c>
      <c r="E669" s="3" t="str">
        <f>TRIM(CLEAN(PROPER(tblClean[[#This Row],[Category]])))</f>
        <v>Other</v>
      </c>
      <c r="F669" s="11" t="s">
        <v>1352</v>
      </c>
      <c r="G669" s="2" t="s">
        <v>18</v>
      </c>
      <c r="H669" s="15">
        <f>MONTH(tblClean[[#This Row],[Date]])</f>
        <v>4</v>
      </c>
      <c r="I669" s="15">
        <f>YEAR(tblClean[[#This Row],[Date]])</f>
        <v>2022</v>
      </c>
    </row>
    <row r="670" spans="1:9" x14ac:dyDescent="0.25">
      <c r="A670" s="7">
        <v>44675</v>
      </c>
      <c r="B670" s="2" t="s">
        <v>1355</v>
      </c>
      <c r="C670" s="4" t="str">
        <f>TRIM(CLEAN(PROPER(tblClean[[#This Row],[Transaction Description]])))</f>
        <v>Turn Both In Animal.</v>
      </c>
      <c r="D670" s="2" t="s">
        <v>30</v>
      </c>
      <c r="E670" s="3" t="str">
        <f>TRIM(CLEAN(PROPER(tblClean[[#This Row],[Category]])))</f>
        <v>Entertainment</v>
      </c>
      <c r="F670" s="11" t="s">
        <v>1356</v>
      </c>
      <c r="G670" s="2" t="s">
        <v>8</v>
      </c>
      <c r="H670" s="15">
        <f>MONTH(tblClean[[#This Row],[Date]])</f>
        <v>4</v>
      </c>
      <c r="I670" s="15">
        <f>YEAR(tblClean[[#This Row],[Date]])</f>
        <v>2022</v>
      </c>
    </row>
    <row r="671" spans="1:9" x14ac:dyDescent="0.25">
      <c r="A671" s="6">
        <v>44675</v>
      </c>
      <c r="B671" s="1" t="s">
        <v>1353</v>
      </c>
      <c r="C671" s="3" t="str">
        <f>TRIM(CLEAN(PROPER(tblClean[[#This Row],[Transaction Description]])))</f>
        <v>Consider Here Grow Agreement.</v>
      </c>
      <c r="D671" s="1" t="s">
        <v>6</v>
      </c>
      <c r="E671" s="3" t="str">
        <f>TRIM(CLEAN(PROPER(tblClean[[#This Row],[Category]])))</f>
        <v>Food &amp; Drink</v>
      </c>
      <c r="F671" s="10" t="s">
        <v>1354</v>
      </c>
      <c r="G671" s="1" t="s">
        <v>8</v>
      </c>
      <c r="H671" s="15">
        <f>MONTH(tblClean[[#This Row],[Date]])</f>
        <v>4</v>
      </c>
      <c r="I671" s="15">
        <f>YEAR(tblClean[[#This Row],[Date]])</f>
        <v>2022</v>
      </c>
    </row>
    <row r="672" spans="1:9" x14ac:dyDescent="0.25">
      <c r="A672" s="6">
        <v>44680</v>
      </c>
      <c r="B672" s="1" t="s">
        <v>1357</v>
      </c>
      <c r="C672" s="3" t="str">
        <f>TRIM(CLEAN(PROPER(tblClean[[#This Row],[Transaction Description]])))</f>
        <v>Actually Than Modern Season.</v>
      </c>
      <c r="D672" s="1" t="s">
        <v>35</v>
      </c>
      <c r="E672" s="3" t="str">
        <f>TRIM(CLEAN(PROPER(tblClean[[#This Row],[Category]])))</f>
        <v>Health &amp; Fitness</v>
      </c>
      <c r="F672" s="10" t="s">
        <v>1358</v>
      </c>
      <c r="G672" s="1" t="s">
        <v>8</v>
      </c>
      <c r="H672" s="15">
        <f>MONTH(tblClean[[#This Row],[Date]])</f>
        <v>4</v>
      </c>
      <c r="I672" s="15">
        <f>YEAR(tblClean[[#This Row],[Date]])</f>
        <v>2022</v>
      </c>
    </row>
    <row r="673" spans="1:9" x14ac:dyDescent="0.25">
      <c r="A673" s="7">
        <v>44681</v>
      </c>
      <c r="B673" s="2" t="s">
        <v>1359</v>
      </c>
      <c r="C673" s="4" t="str">
        <f>TRIM(CLEAN(PROPER(tblClean[[#This Row],[Transaction Description]])))</f>
        <v>Within Prove Full.</v>
      </c>
      <c r="D673" s="2" t="s">
        <v>35</v>
      </c>
      <c r="E673" s="3" t="str">
        <f>TRIM(CLEAN(PROPER(tblClean[[#This Row],[Category]])))</f>
        <v>Health &amp; Fitness</v>
      </c>
      <c r="F673" s="11" t="s">
        <v>1360</v>
      </c>
      <c r="G673" s="2" t="s">
        <v>8</v>
      </c>
      <c r="H673" s="15">
        <f>MONTH(tblClean[[#This Row],[Date]])</f>
        <v>4</v>
      </c>
      <c r="I673" s="15">
        <f>YEAR(tblClean[[#This Row],[Date]])</f>
        <v>2022</v>
      </c>
    </row>
    <row r="674" spans="1:9" x14ac:dyDescent="0.25">
      <c r="A674" s="6">
        <v>44683</v>
      </c>
      <c r="B674" s="1" t="s">
        <v>1361</v>
      </c>
      <c r="C674" s="3" t="str">
        <f>TRIM(CLEAN(PROPER(tblClean[[#This Row],[Transaction Description]])))</f>
        <v>Believe Product Eat Generation Put.</v>
      </c>
      <c r="D674" s="1" t="s">
        <v>30</v>
      </c>
      <c r="E674" s="3" t="str">
        <f>TRIM(CLEAN(PROPER(tblClean[[#This Row],[Category]])))</f>
        <v>Entertainment</v>
      </c>
      <c r="F674" s="10" t="s">
        <v>1362</v>
      </c>
      <c r="G674" s="1" t="s">
        <v>8</v>
      </c>
      <c r="H674" s="15">
        <f>MONTH(tblClean[[#This Row],[Date]])</f>
        <v>5</v>
      </c>
      <c r="I674" s="15">
        <f>YEAR(tblClean[[#This Row],[Date]])</f>
        <v>2022</v>
      </c>
    </row>
    <row r="675" spans="1:9" x14ac:dyDescent="0.25">
      <c r="A675" s="7">
        <v>44683</v>
      </c>
      <c r="B675" s="2" t="s">
        <v>1363</v>
      </c>
      <c r="C675" s="4" t="str">
        <f>TRIM(CLEAN(PROPER(tblClean[[#This Row],[Transaction Description]])))</f>
        <v>Stuff Next Write.</v>
      </c>
      <c r="D675" s="2" t="s">
        <v>10</v>
      </c>
      <c r="E675" s="3" t="str">
        <f>TRIM(CLEAN(PROPER(tblClean[[#This Row],[Category]])))</f>
        <v>Utilities</v>
      </c>
      <c r="F675" s="11" t="s">
        <v>1364</v>
      </c>
      <c r="G675" s="2" t="s">
        <v>8</v>
      </c>
      <c r="H675" s="15">
        <f>MONTH(tblClean[[#This Row],[Date]])</f>
        <v>5</v>
      </c>
      <c r="I675" s="15">
        <f>YEAR(tblClean[[#This Row],[Date]])</f>
        <v>2022</v>
      </c>
    </row>
    <row r="676" spans="1:9" x14ac:dyDescent="0.25">
      <c r="A676" s="6">
        <v>44684</v>
      </c>
      <c r="B676" s="1" t="s">
        <v>1365</v>
      </c>
      <c r="C676" s="3" t="str">
        <f>TRIM(CLEAN(PROPER(tblClean[[#This Row],[Transaction Description]])))</f>
        <v>Poor Church.</v>
      </c>
      <c r="D676" s="1" t="s">
        <v>38</v>
      </c>
      <c r="E676" s="3" t="str">
        <f>TRIM(CLEAN(PROPER(tblClean[[#This Row],[Category]])))</f>
        <v>Salary</v>
      </c>
      <c r="F676" s="10" t="s">
        <v>1366</v>
      </c>
      <c r="G676" s="1" t="s">
        <v>8</v>
      </c>
      <c r="H676" s="15">
        <f>MONTH(tblClean[[#This Row],[Date]])</f>
        <v>5</v>
      </c>
      <c r="I676" s="15">
        <f>YEAR(tblClean[[#This Row],[Date]])</f>
        <v>2022</v>
      </c>
    </row>
    <row r="677" spans="1:9" x14ac:dyDescent="0.25">
      <c r="A677" s="7">
        <v>44686</v>
      </c>
      <c r="B677" s="2" t="s">
        <v>1367</v>
      </c>
      <c r="C677" s="4" t="str">
        <f>TRIM(CLEAN(PROPER(tblClean[[#This Row],[Transaction Description]])))</f>
        <v>Thank Avoid Man Drive.</v>
      </c>
      <c r="D677" s="2" t="s">
        <v>22</v>
      </c>
      <c r="E677" s="3" t="str">
        <f>TRIM(CLEAN(PROPER(tblClean[[#This Row],[Category]])))</f>
        <v>Shopping</v>
      </c>
      <c r="F677" s="11" t="s">
        <v>1368</v>
      </c>
      <c r="G677" s="2" t="s">
        <v>8</v>
      </c>
      <c r="H677" s="15">
        <f>MONTH(tblClean[[#This Row],[Date]])</f>
        <v>5</v>
      </c>
      <c r="I677" s="15">
        <f>YEAR(tblClean[[#This Row],[Date]])</f>
        <v>2022</v>
      </c>
    </row>
    <row r="678" spans="1:9" x14ac:dyDescent="0.25">
      <c r="A678" s="6">
        <v>44686</v>
      </c>
      <c r="B678" s="1" t="s">
        <v>1369</v>
      </c>
      <c r="C678" s="3" t="str">
        <f>TRIM(CLEAN(PROPER(tblClean[[#This Row],[Transaction Description]])))</f>
        <v>Medical Nearly.</v>
      </c>
      <c r="D678" s="1" t="s">
        <v>22</v>
      </c>
      <c r="E678" s="3" t="str">
        <f>TRIM(CLEAN(PROPER(tblClean[[#This Row],[Category]])))</f>
        <v>Shopping</v>
      </c>
      <c r="F678" s="10" t="s">
        <v>1370</v>
      </c>
      <c r="G678" s="1" t="s">
        <v>8</v>
      </c>
      <c r="H678" s="15">
        <f>MONTH(tblClean[[#This Row],[Date]])</f>
        <v>5</v>
      </c>
      <c r="I678" s="15">
        <f>YEAR(tblClean[[#This Row],[Date]])</f>
        <v>2022</v>
      </c>
    </row>
    <row r="679" spans="1:9" x14ac:dyDescent="0.25">
      <c r="A679" s="7">
        <v>44687</v>
      </c>
      <c r="B679" s="2" t="s">
        <v>1371</v>
      </c>
      <c r="C679" s="4" t="str">
        <f>TRIM(CLEAN(PROPER(tblClean[[#This Row],[Transaction Description]])))</f>
        <v>Stage Bad Know Of.</v>
      </c>
      <c r="D679" s="2" t="s">
        <v>10</v>
      </c>
      <c r="E679" s="3" t="str">
        <f>TRIM(CLEAN(PROPER(tblClean[[#This Row],[Category]])))</f>
        <v>Utilities</v>
      </c>
      <c r="F679" s="11" t="s">
        <v>1372</v>
      </c>
      <c r="G679" s="2" t="s">
        <v>8</v>
      </c>
      <c r="H679" s="15">
        <f>MONTH(tblClean[[#This Row],[Date]])</f>
        <v>5</v>
      </c>
      <c r="I679" s="15">
        <f>YEAR(tblClean[[#This Row],[Date]])</f>
        <v>2022</v>
      </c>
    </row>
    <row r="680" spans="1:9" x14ac:dyDescent="0.25">
      <c r="A680" s="6">
        <v>44688</v>
      </c>
      <c r="B680" s="1" t="s">
        <v>1373</v>
      </c>
      <c r="C680" s="3" t="str">
        <f>TRIM(CLEAN(PROPER(tblClean[[#This Row],[Transaction Description]])))</f>
        <v>Language Budget Market President.</v>
      </c>
      <c r="D680" s="1" t="s">
        <v>30</v>
      </c>
      <c r="E680" s="3" t="str">
        <f>TRIM(CLEAN(PROPER(tblClean[[#This Row],[Category]])))</f>
        <v>Entertainment</v>
      </c>
      <c r="F680" s="10" t="s">
        <v>1374</v>
      </c>
      <c r="G680" s="1" t="s">
        <v>8</v>
      </c>
      <c r="H680" s="15">
        <f>MONTH(tblClean[[#This Row],[Date]])</f>
        <v>5</v>
      </c>
      <c r="I680" s="15">
        <f>YEAR(tblClean[[#This Row],[Date]])</f>
        <v>2022</v>
      </c>
    </row>
    <row r="681" spans="1:9" x14ac:dyDescent="0.25">
      <c r="A681" s="7">
        <v>44688</v>
      </c>
      <c r="B681" s="2" t="s">
        <v>1375</v>
      </c>
      <c r="C681" s="4" t="str">
        <f>TRIM(CLEAN(PROPER(tblClean[[#This Row],[Transaction Description]])))</f>
        <v>Include News A Before.</v>
      </c>
      <c r="D681" s="2" t="s">
        <v>38</v>
      </c>
      <c r="E681" s="3" t="str">
        <f>TRIM(CLEAN(PROPER(tblClean[[#This Row],[Category]])))</f>
        <v>Salary</v>
      </c>
      <c r="F681" s="11" t="s">
        <v>1376</v>
      </c>
      <c r="G681" s="2" t="s">
        <v>8</v>
      </c>
      <c r="H681" s="15">
        <f>MONTH(tblClean[[#This Row],[Date]])</f>
        <v>5</v>
      </c>
      <c r="I681" s="15">
        <f>YEAR(tblClean[[#This Row],[Date]])</f>
        <v>2022</v>
      </c>
    </row>
    <row r="682" spans="1:9" x14ac:dyDescent="0.25">
      <c r="A682" s="6">
        <v>44688</v>
      </c>
      <c r="B682" s="1" t="s">
        <v>1377</v>
      </c>
      <c r="C682" s="3" t="str">
        <f>TRIM(CLEAN(PROPER(tblClean[[#This Row],[Transaction Description]])))</f>
        <v>None Pressure Lay Future Stay.</v>
      </c>
      <c r="D682" s="1" t="s">
        <v>22</v>
      </c>
      <c r="E682" s="3" t="str">
        <f>TRIM(CLEAN(PROPER(tblClean[[#This Row],[Category]])))</f>
        <v>Shopping</v>
      </c>
      <c r="F682" s="10" t="s">
        <v>1378</v>
      </c>
      <c r="G682" s="1" t="s">
        <v>8</v>
      </c>
      <c r="H682" s="15">
        <f>MONTH(tblClean[[#This Row],[Date]])</f>
        <v>5</v>
      </c>
      <c r="I682" s="15">
        <f>YEAR(tblClean[[#This Row],[Date]])</f>
        <v>2022</v>
      </c>
    </row>
    <row r="683" spans="1:9" x14ac:dyDescent="0.25">
      <c r="A683" s="7">
        <v>44689</v>
      </c>
      <c r="B683" s="2" t="s">
        <v>1379</v>
      </c>
      <c r="C683" s="4" t="str">
        <f>TRIM(CLEAN(PROPER(tblClean[[#This Row],[Transaction Description]])))</f>
        <v>Forward Should Outside Respond.</v>
      </c>
      <c r="D683" s="2" t="s">
        <v>16</v>
      </c>
      <c r="E683" s="3" t="str">
        <f>TRIM(CLEAN(PROPER(tblClean[[#This Row],[Category]])))</f>
        <v>Investment</v>
      </c>
      <c r="F683" s="11" t="s">
        <v>1380</v>
      </c>
      <c r="G683" s="2" t="s">
        <v>18</v>
      </c>
      <c r="H683" s="15">
        <f>MONTH(tblClean[[#This Row],[Date]])</f>
        <v>5</v>
      </c>
      <c r="I683" s="15">
        <f>YEAR(tblClean[[#This Row],[Date]])</f>
        <v>2022</v>
      </c>
    </row>
    <row r="684" spans="1:9" x14ac:dyDescent="0.25">
      <c r="A684" s="6">
        <v>44689</v>
      </c>
      <c r="B684" s="1" t="s">
        <v>1381</v>
      </c>
      <c r="C684" s="3" t="str">
        <f>TRIM(CLEAN(PROPER(tblClean[[#This Row],[Transaction Description]])))</f>
        <v>Box Service Develop Game.</v>
      </c>
      <c r="D684" s="1" t="s">
        <v>13</v>
      </c>
      <c r="E684" s="3" t="str">
        <f>TRIM(CLEAN(PROPER(tblClean[[#This Row],[Category]])))</f>
        <v>Rent</v>
      </c>
      <c r="F684" s="10" t="s">
        <v>1382</v>
      </c>
      <c r="G684" s="1" t="s">
        <v>8</v>
      </c>
      <c r="H684" s="15">
        <f>MONTH(tblClean[[#This Row],[Date]])</f>
        <v>5</v>
      </c>
      <c r="I684" s="15">
        <f>YEAR(tblClean[[#This Row],[Date]])</f>
        <v>2022</v>
      </c>
    </row>
    <row r="685" spans="1:9" x14ac:dyDescent="0.25">
      <c r="A685" s="6">
        <v>44690</v>
      </c>
      <c r="B685" s="1" t="s">
        <v>1385</v>
      </c>
      <c r="C685" s="3" t="str">
        <f>TRIM(CLEAN(PROPER(tblClean[[#This Row],[Transaction Description]])))</f>
        <v>Effect Cultural.</v>
      </c>
      <c r="D685" s="1" t="s">
        <v>6</v>
      </c>
      <c r="E685" s="3" t="str">
        <f>TRIM(CLEAN(PROPER(tblClean[[#This Row],[Category]])))</f>
        <v>Food &amp; Drink</v>
      </c>
      <c r="F685" s="10" t="s">
        <v>1386</v>
      </c>
      <c r="G685" s="1" t="s">
        <v>8</v>
      </c>
      <c r="H685" s="15">
        <f>MONTH(tblClean[[#This Row],[Date]])</f>
        <v>5</v>
      </c>
      <c r="I685" s="15">
        <f>YEAR(tblClean[[#This Row],[Date]])</f>
        <v>2022</v>
      </c>
    </row>
    <row r="686" spans="1:9" x14ac:dyDescent="0.25">
      <c r="A686" s="7">
        <v>44690</v>
      </c>
      <c r="B686" s="2" t="s">
        <v>1383</v>
      </c>
      <c r="C686" s="4" t="str">
        <f>TRIM(CLEAN(PROPER(tblClean[[#This Row],[Transaction Description]])))</f>
        <v>Miss Reduce Animal Clearly Cell.</v>
      </c>
      <c r="D686" s="2" t="s">
        <v>13</v>
      </c>
      <c r="E686" s="3" t="str">
        <f>TRIM(CLEAN(PROPER(tblClean[[#This Row],[Category]])))</f>
        <v>Rent</v>
      </c>
      <c r="F686" s="11" t="s">
        <v>1384</v>
      </c>
      <c r="G686" s="2" t="s">
        <v>8</v>
      </c>
      <c r="H686" s="15">
        <f>MONTH(tblClean[[#This Row],[Date]])</f>
        <v>5</v>
      </c>
      <c r="I686" s="15">
        <f>YEAR(tblClean[[#This Row],[Date]])</f>
        <v>2022</v>
      </c>
    </row>
    <row r="687" spans="1:9" x14ac:dyDescent="0.25">
      <c r="A687" s="7">
        <v>44692</v>
      </c>
      <c r="B687" s="2" t="s">
        <v>1387</v>
      </c>
      <c r="C687" s="4" t="str">
        <f>TRIM(CLEAN(PROPER(tblClean[[#This Row],[Transaction Description]])))</f>
        <v>Democratic Station Course Full.</v>
      </c>
      <c r="D687" s="2" t="s">
        <v>6</v>
      </c>
      <c r="E687" s="3" t="str">
        <f>TRIM(CLEAN(PROPER(tblClean[[#This Row],[Category]])))</f>
        <v>Food &amp; Drink</v>
      </c>
      <c r="F687" s="11" t="s">
        <v>1388</v>
      </c>
      <c r="G687" s="2" t="s">
        <v>8</v>
      </c>
      <c r="H687" s="15">
        <f>MONTH(tblClean[[#This Row],[Date]])</f>
        <v>5</v>
      </c>
      <c r="I687" s="15">
        <f>YEAR(tblClean[[#This Row],[Date]])</f>
        <v>2022</v>
      </c>
    </row>
    <row r="688" spans="1:9" x14ac:dyDescent="0.25">
      <c r="A688" s="7">
        <v>44694</v>
      </c>
      <c r="B688" s="2" t="s">
        <v>1391</v>
      </c>
      <c r="C688" s="4" t="str">
        <f>TRIM(CLEAN(PROPER(tblClean[[#This Row],[Transaction Description]])))</f>
        <v>Leader Operation Mean White.</v>
      </c>
      <c r="D688" s="2" t="s">
        <v>35</v>
      </c>
      <c r="E688" s="3" t="str">
        <f>TRIM(CLEAN(PROPER(tblClean[[#This Row],[Category]])))</f>
        <v>Health &amp; Fitness</v>
      </c>
      <c r="F688" s="11" t="s">
        <v>1392</v>
      </c>
      <c r="G688" s="2" t="s">
        <v>8</v>
      </c>
      <c r="H688" s="15">
        <f>MONTH(tblClean[[#This Row],[Date]])</f>
        <v>5</v>
      </c>
      <c r="I688" s="15">
        <f>YEAR(tblClean[[#This Row],[Date]])</f>
        <v>2022</v>
      </c>
    </row>
    <row r="689" spans="1:9" x14ac:dyDescent="0.25">
      <c r="A689" s="6">
        <v>44694</v>
      </c>
      <c r="B689" s="1" t="s">
        <v>1389</v>
      </c>
      <c r="C689" s="3" t="str">
        <f>TRIM(CLEAN(PROPER(tblClean[[#This Row],[Transaction Description]])))</f>
        <v>Unit Study.</v>
      </c>
      <c r="D689" s="1" t="s">
        <v>16</v>
      </c>
      <c r="E689" s="3" t="str">
        <f>TRIM(CLEAN(PROPER(tblClean[[#This Row],[Category]])))</f>
        <v>Investment</v>
      </c>
      <c r="F689" s="10" t="s">
        <v>1390</v>
      </c>
      <c r="G689" s="1" t="s">
        <v>18</v>
      </c>
      <c r="H689" s="15">
        <f>MONTH(tblClean[[#This Row],[Date]])</f>
        <v>5</v>
      </c>
      <c r="I689" s="15">
        <f>YEAR(tblClean[[#This Row],[Date]])</f>
        <v>2022</v>
      </c>
    </row>
    <row r="690" spans="1:9" x14ac:dyDescent="0.25">
      <c r="A690" s="6">
        <v>44695</v>
      </c>
      <c r="B690" s="1" t="s">
        <v>1393</v>
      </c>
      <c r="C690" s="3" t="str">
        <f>TRIM(CLEAN(PROPER(tblClean[[#This Row],[Transaction Description]])))</f>
        <v>Save Network Item One Under.</v>
      </c>
      <c r="D690" s="1" t="s">
        <v>30</v>
      </c>
      <c r="E690" s="3" t="str">
        <f>TRIM(CLEAN(PROPER(tblClean[[#This Row],[Category]])))</f>
        <v>Entertainment</v>
      </c>
      <c r="F690" s="10" t="s">
        <v>1394</v>
      </c>
      <c r="G690" s="1" t="s">
        <v>8</v>
      </c>
      <c r="H690" s="15">
        <f>MONTH(tblClean[[#This Row],[Date]])</f>
        <v>5</v>
      </c>
      <c r="I690" s="15">
        <f>YEAR(tblClean[[#This Row],[Date]])</f>
        <v>2022</v>
      </c>
    </row>
    <row r="691" spans="1:9" x14ac:dyDescent="0.25">
      <c r="A691" s="6">
        <v>44700</v>
      </c>
      <c r="B691" s="1" t="s">
        <v>1397</v>
      </c>
      <c r="C691" s="3" t="str">
        <f>TRIM(CLEAN(PROPER(tblClean[[#This Row],[Transaction Description]])))</f>
        <v>Thing Industry Participant Realize.</v>
      </c>
      <c r="D691" s="1" t="s">
        <v>30</v>
      </c>
      <c r="E691" s="3" t="str">
        <f>TRIM(CLEAN(PROPER(tblClean[[#This Row],[Category]])))</f>
        <v>Entertainment</v>
      </c>
      <c r="F691" s="10" t="s">
        <v>1398</v>
      </c>
      <c r="G691" s="1" t="s">
        <v>8</v>
      </c>
      <c r="H691" s="15">
        <f>MONTH(tblClean[[#This Row],[Date]])</f>
        <v>5</v>
      </c>
      <c r="I691" s="15">
        <f>YEAR(tblClean[[#This Row],[Date]])</f>
        <v>2022</v>
      </c>
    </row>
    <row r="692" spans="1:9" x14ac:dyDescent="0.25">
      <c r="A692" s="7">
        <v>44700</v>
      </c>
      <c r="B692" s="2" t="s">
        <v>1395</v>
      </c>
      <c r="C692" s="4" t="str">
        <f>TRIM(CLEAN(PROPER(tblClean[[#This Row],[Transaction Description]])))</f>
        <v>Community Spring Billion Price Paper.</v>
      </c>
      <c r="D692" s="2" t="s">
        <v>13</v>
      </c>
      <c r="E692" s="3" t="str">
        <f>TRIM(CLEAN(PROPER(tblClean[[#This Row],[Category]])))</f>
        <v>Rent</v>
      </c>
      <c r="F692" s="11" t="s">
        <v>1396</v>
      </c>
      <c r="G692" s="2" t="s">
        <v>8</v>
      </c>
      <c r="H692" s="15">
        <f>MONTH(tblClean[[#This Row],[Date]])</f>
        <v>5</v>
      </c>
      <c r="I692" s="15">
        <f>YEAR(tblClean[[#This Row],[Date]])</f>
        <v>2022</v>
      </c>
    </row>
    <row r="693" spans="1:9" x14ac:dyDescent="0.25">
      <c r="A693" s="7">
        <v>44701</v>
      </c>
      <c r="B693" s="2" t="s">
        <v>1399</v>
      </c>
      <c r="C693" s="4" t="str">
        <f>TRIM(CLEAN(PROPER(tblClean[[#This Row],[Transaction Description]])))</f>
        <v>Huge Garden Family.</v>
      </c>
      <c r="D693" s="2" t="s">
        <v>22</v>
      </c>
      <c r="E693" s="3" t="str">
        <f>TRIM(CLEAN(PROPER(tblClean[[#This Row],[Category]])))</f>
        <v>Shopping</v>
      </c>
      <c r="F693" s="11" t="s">
        <v>1400</v>
      </c>
      <c r="G693" s="2" t="s">
        <v>8</v>
      </c>
      <c r="H693" s="15">
        <f>MONTH(tblClean[[#This Row],[Date]])</f>
        <v>5</v>
      </c>
      <c r="I693" s="15">
        <f>YEAR(tblClean[[#This Row],[Date]])</f>
        <v>2022</v>
      </c>
    </row>
    <row r="694" spans="1:9" x14ac:dyDescent="0.25">
      <c r="A694" s="6">
        <v>44701</v>
      </c>
      <c r="B694" s="1" t="s">
        <v>1401</v>
      </c>
      <c r="C694" s="3" t="str">
        <f>TRIM(CLEAN(PROPER(tblClean[[#This Row],[Transaction Description]])))</f>
        <v>Include Record Security.</v>
      </c>
      <c r="D694" s="1" t="s">
        <v>53</v>
      </c>
      <c r="E694" s="3" t="str">
        <f>TRIM(CLEAN(PROPER(tblClean[[#This Row],[Category]])))</f>
        <v>Travel</v>
      </c>
      <c r="F694" s="10" t="s">
        <v>1402</v>
      </c>
      <c r="G694" s="1" t="s">
        <v>8</v>
      </c>
      <c r="H694" s="15">
        <f>MONTH(tblClean[[#This Row],[Date]])</f>
        <v>5</v>
      </c>
      <c r="I694" s="15">
        <f>YEAR(tblClean[[#This Row],[Date]])</f>
        <v>2022</v>
      </c>
    </row>
    <row r="695" spans="1:9" x14ac:dyDescent="0.25">
      <c r="A695" s="7">
        <v>44703</v>
      </c>
      <c r="B695" s="2" t="s">
        <v>1403</v>
      </c>
      <c r="C695" s="4" t="str">
        <f>TRIM(CLEAN(PROPER(tblClean[[#This Row],[Transaction Description]])))</f>
        <v>Team Republican Very Plan Cut.</v>
      </c>
      <c r="D695" s="2" t="s">
        <v>35</v>
      </c>
      <c r="E695" s="3" t="str">
        <f>TRIM(CLEAN(PROPER(tblClean[[#This Row],[Category]])))</f>
        <v>Health &amp; Fitness</v>
      </c>
      <c r="F695" s="11" t="s">
        <v>1404</v>
      </c>
      <c r="G695" s="2" t="s">
        <v>8</v>
      </c>
      <c r="H695" s="15">
        <f>MONTH(tblClean[[#This Row],[Date]])</f>
        <v>5</v>
      </c>
      <c r="I695" s="15">
        <f>YEAR(tblClean[[#This Row],[Date]])</f>
        <v>2022</v>
      </c>
    </row>
    <row r="696" spans="1:9" x14ac:dyDescent="0.25">
      <c r="A696" s="6">
        <v>44704</v>
      </c>
      <c r="B696" s="1" t="s">
        <v>1405</v>
      </c>
      <c r="C696" s="3" t="str">
        <f>TRIM(CLEAN(PROPER(tblClean[[#This Row],[Transaction Description]])))</f>
        <v>Tv Car Report Window.</v>
      </c>
      <c r="D696" s="1" t="s">
        <v>38</v>
      </c>
      <c r="E696" s="3" t="str">
        <f>TRIM(CLEAN(PROPER(tblClean[[#This Row],[Category]])))</f>
        <v>Salary</v>
      </c>
      <c r="F696" s="10" t="s">
        <v>1406</v>
      </c>
      <c r="G696" s="1" t="s">
        <v>8</v>
      </c>
      <c r="H696" s="15">
        <f>MONTH(tblClean[[#This Row],[Date]])</f>
        <v>5</v>
      </c>
      <c r="I696" s="15">
        <f>YEAR(tblClean[[#This Row],[Date]])</f>
        <v>2022</v>
      </c>
    </row>
    <row r="697" spans="1:9" x14ac:dyDescent="0.25">
      <c r="A697" s="6">
        <v>44705</v>
      </c>
      <c r="B697" s="1" t="s">
        <v>1409</v>
      </c>
      <c r="C697" s="3" t="str">
        <f>TRIM(CLEAN(PROPER(tblClean[[#This Row],[Transaction Description]])))</f>
        <v>Old Wall Report Purpose.</v>
      </c>
      <c r="D697" s="1" t="s">
        <v>30</v>
      </c>
      <c r="E697" s="3" t="str">
        <f>TRIM(CLEAN(PROPER(tblClean[[#This Row],[Category]])))</f>
        <v>Entertainment</v>
      </c>
      <c r="F697" s="10" t="s">
        <v>1410</v>
      </c>
      <c r="G697" s="1" t="s">
        <v>8</v>
      </c>
      <c r="H697" s="15">
        <f>MONTH(tblClean[[#This Row],[Date]])</f>
        <v>5</v>
      </c>
      <c r="I697" s="15">
        <f>YEAR(tblClean[[#This Row],[Date]])</f>
        <v>2022</v>
      </c>
    </row>
    <row r="698" spans="1:9" x14ac:dyDescent="0.25">
      <c r="A698" s="7">
        <v>44705</v>
      </c>
      <c r="B698" s="2" t="s">
        <v>1407</v>
      </c>
      <c r="C698" s="4" t="str">
        <f>TRIM(CLEAN(PROPER(tblClean[[#This Row],[Transaction Description]])))</f>
        <v>My Pm Report Set.</v>
      </c>
      <c r="D698" s="2" t="s">
        <v>38</v>
      </c>
      <c r="E698" s="3" t="str">
        <f>TRIM(CLEAN(PROPER(tblClean[[#This Row],[Category]])))</f>
        <v>Salary</v>
      </c>
      <c r="F698" s="11" t="s">
        <v>1408</v>
      </c>
      <c r="G698" s="2" t="s">
        <v>8</v>
      </c>
      <c r="H698" s="15">
        <f>MONTH(tblClean[[#This Row],[Date]])</f>
        <v>5</v>
      </c>
      <c r="I698" s="15">
        <f>YEAR(tblClean[[#This Row],[Date]])</f>
        <v>2022</v>
      </c>
    </row>
    <row r="699" spans="1:9" x14ac:dyDescent="0.25">
      <c r="A699" s="7">
        <v>44706</v>
      </c>
      <c r="B699" s="2" t="s">
        <v>1411</v>
      </c>
      <c r="C699" s="4" t="str">
        <f>TRIM(CLEAN(PROPER(tblClean[[#This Row],[Transaction Description]])))</f>
        <v>There Institution Actually.</v>
      </c>
      <c r="D699" s="2" t="s">
        <v>30</v>
      </c>
      <c r="E699" s="3" t="str">
        <f>TRIM(CLEAN(PROPER(tblClean[[#This Row],[Category]])))</f>
        <v>Entertainment</v>
      </c>
      <c r="F699" s="11" t="s">
        <v>1412</v>
      </c>
      <c r="G699" s="2" t="s">
        <v>8</v>
      </c>
      <c r="H699" s="15">
        <f>MONTH(tblClean[[#This Row],[Date]])</f>
        <v>5</v>
      </c>
      <c r="I699" s="15">
        <f>YEAR(tblClean[[#This Row],[Date]])</f>
        <v>2022</v>
      </c>
    </row>
    <row r="700" spans="1:9" x14ac:dyDescent="0.25">
      <c r="A700" s="6">
        <v>44708</v>
      </c>
      <c r="B700" s="1" t="s">
        <v>1413</v>
      </c>
      <c r="C700" s="3" t="str">
        <f>TRIM(CLEAN(PROPER(tblClean[[#This Row],[Transaction Description]])))</f>
        <v>Herself Apply.</v>
      </c>
      <c r="D700" s="1" t="s">
        <v>27</v>
      </c>
      <c r="E700" s="3" t="str">
        <f>TRIM(CLEAN(PROPER(tblClean[[#This Row],[Category]])))</f>
        <v>Other</v>
      </c>
      <c r="F700" s="10" t="s">
        <v>1414</v>
      </c>
      <c r="G700" s="1" t="s">
        <v>18</v>
      </c>
      <c r="H700" s="15">
        <f>MONTH(tblClean[[#This Row],[Date]])</f>
        <v>5</v>
      </c>
      <c r="I700" s="15">
        <f>YEAR(tblClean[[#This Row],[Date]])</f>
        <v>2022</v>
      </c>
    </row>
    <row r="701" spans="1:9" x14ac:dyDescent="0.25">
      <c r="A701" s="7">
        <v>44709</v>
      </c>
      <c r="B701" s="2" t="s">
        <v>1415</v>
      </c>
      <c r="C701" s="4" t="str">
        <f>TRIM(CLEAN(PROPER(tblClean[[#This Row],[Transaction Description]])))</f>
        <v>Environment Size Worker.</v>
      </c>
      <c r="D701" s="2" t="s">
        <v>27</v>
      </c>
      <c r="E701" s="3" t="str">
        <f>TRIM(CLEAN(PROPER(tblClean[[#This Row],[Category]])))</f>
        <v>Other</v>
      </c>
      <c r="F701" s="11" t="s">
        <v>1416</v>
      </c>
      <c r="G701" s="2" t="s">
        <v>18</v>
      </c>
      <c r="H701" s="15">
        <f>MONTH(tblClean[[#This Row],[Date]])</f>
        <v>5</v>
      </c>
      <c r="I701" s="15">
        <f>YEAR(tblClean[[#This Row],[Date]])</f>
        <v>2022</v>
      </c>
    </row>
    <row r="702" spans="1:9" x14ac:dyDescent="0.25">
      <c r="A702" s="6">
        <v>44710</v>
      </c>
      <c r="B702" s="1" t="s">
        <v>1417</v>
      </c>
      <c r="C702" s="3" t="str">
        <f>TRIM(CLEAN(PROPER(tblClean[[#This Row],[Transaction Description]])))</f>
        <v>Style Real Far.</v>
      </c>
      <c r="D702" s="1" t="s">
        <v>30</v>
      </c>
      <c r="E702" s="3" t="str">
        <f>TRIM(CLEAN(PROPER(tblClean[[#This Row],[Category]])))</f>
        <v>Entertainment</v>
      </c>
      <c r="F702" s="10" t="s">
        <v>1418</v>
      </c>
      <c r="G702" s="1" t="s">
        <v>8</v>
      </c>
      <c r="H702" s="15">
        <f>MONTH(tblClean[[#This Row],[Date]])</f>
        <v>5</v>
      </c>
      <c r="I702" s="15">
        <f>YEAR(tblClean[[#This Row],[Date]])</f>
        <v>2022</v>
      </c>
    </row>
    <row r="703" spans="1:9" x14ac:dyDescent="0.25">
      <c r="A703" s="7">
        <v>44710</v>
      </c>
      <c r="B703" s="2" t="s">
        <v>1419</v>
      </c>
      <c r="C703" s="4" t="str">
        <f>TRIM(CLEAN(PROPER(tblClean[[#This Row],[Transaction Description]])))</f>
        <v>Grow Laugh.</v>
      </c>
      <c r="D703" s="2" t="s">
        <v>35</v>
      </c>
      <c r="E703" s="3" t="str">
        <f>TRIM(CLEAN(PROPER(tblClean[[#This Row],[Category]])))</f>
        <v>Health &amp; Fitness</v>
      </c>
      <c r="F703" s="11" t="s">
        <v>1420</v>
      </c>
      <c r="G703" s="2" t="s">
        <v>8</v>
      </c>
      <c r="H703" s="15">
        <f>MONTH(tblClean[[#This Row],[Date]])</f>
        <v>5</v>
      </c>
      <c r="I703" s="15">
        <f>YEAR(tblClean[[#This Row],[Date]])</f>
        <v>2022</v>
      </c>
    </row>
    <row r="704" spans="1:9" x14ac:dyDescent="0.25">
      <c r="A704" s="7">
        <v>44711</v>
      </c>
      <c r="B704" s="2" t="s">
        <v>1423</v>
      </c>
      <c r="C704" s="4" t="str">
        <f>TRIM(CLEAN(PROPER(tblClean[[#This Row],[Transaction Description]])))</f>
        <v>Unit Hold.</v>
      </c>
      <c r="D704" s="2" t="s">
        <v>35</v>
      </c>
      <c r="E704" s="3" t="str">
        <f>TRIM(CLEAN(PROPER(tblClean[[#This Row],[Category]])))</f>
        <v>Health &amp; Fitness</v>
      </c>
      <c r="F704" s="11" t="s">
        <v>1424</v>
      </c>
      <c r="G704" s="2" t="s">
        <v>8</v>
      </c>
      <c r="H704" s="15">
        <f>MONTH(tblClean[[#This Row],[Date]])</f>
        <v>5</v>
      </c>
      <c r="I704" s="15">
        <f>YEAR(tblClean[[#This Row],[Date]])</f>
        <v>2022</v>
      </c>
    </row>
    <row r="705" spans="1:9" x14ac:dyDescent="0.25">
      <c r="A705" s="6">
        <v>44711</v>
      </c>
      <c r="B705" s="1" t="s">
        <v>1421</v>
      </c>
      <c r="C705" s="3" t="str">
        <f>TRIM(CLEAN(PROPER(tblClean[[#This Row],[Transaction Description]])))</f>
        <v>Score Night Down.</v>
      </c>
      <c r="D705" s="1" t="s">
        <v>38</v>
      </c>
      <c r="E705" s="3" t="str">
        <f>TRIM(CLEAN(PROPER(tblClean[[#This Row],[Category]])))</f>
        <v>Salary</v>
      </c>
      <c r="F705" s="10" t="s">
        <v>1422</v>
      </c>
      <c r="G705" s="1" t="s">
        <v>8</v>
      </c>
      <c r="H705" s="15">
        <f>MONTH(tblClean[[#This Row],[Date]])</f>
        <v>5</v>
      </c>
      <c r="I705" s="15">
        <f>YEAR(tblClean[[#This Row],[Date]])</f>
        <v>2022</v>
      </c>
    </row>
    <row r="706" spans="1:9" x14ac:dyDescent="0.25">
      <c r="A706" s="6">
        <v>44712</v>
      </c>
      <c r="B706" s="1" t="s">
        <v>1425</v>
      </c>
      <c r="C706" s="3" t="str">
        <f>TRIM(CLEAN(PROPER(tblClean[[#This Row],[Transaction Description]])))</f>
        <v>Approach Season Data Than Team.</v>
      </c>
      <c r="D706" s="1" t="s">
        <v>38</v>
      </c>
      <c r="E706" s="3" t="str">
        <f>TRIM(CLEAN(PROPER(tblClean[[#This Row],[Category]])))</f>
        <v>Salary</v>
      </c>
      <c r="F706" s="10" t="s">
        <v>1426</v>
      </c>
      <c r="G706" s="1" t="s">
        <v>8</v>
      </c>
      <c r="H706" s="15">
        <f>MONTH(tblClean[[#This Row],[Date]])</f>
        <v>5</v>
      </c>
      <c r="I706" s="15">
        <f>YEAR(tblClean[[#This Row],[Date]])</f>
        <v>2022</v>
      </c>
    </row>
    <row r="707" spans="1:9" x14ac:dyDescent="0.25">
      <c r="A707" s="7">
        <v>44713</v>
      </c>
      <c r="B707" s="2" t="s">
        <v>1427</v>
      </c>
      <c r="C707" s="4" t="str">
        <f>TRIM(CLEAN(PROPER(tblClean[[#This Row],[Transaction Description]])))</f>
        <v>Treatment Relate Positive.</v>
      </c>
      <c r="D707" s="2" t="s">
        <v>6</v>
      </c>
      <c r="E707" s="3" t="str">
        <f>TRIM(CLEAN(PROPER(tblClean[[#This Row],[Category]])))</f>
        <v>Food &amp; Drink</v>
      </c>
      <c r="F707" s="11" t="s">
        <v>1428</v>
      </c>
      <c r="G707" s="2" t="s">
        <v>8</v>
      </c>
      <c r="H707" s="15">
        <f>MONTH(tblClean[[#This Row],[Date]])</f>
        <v>6</v>
      </c>
      <c r="I707" s="15">
        <f>YEAR(tblClean[[#This Row],[Date]])</f>
        <v>2022</v>
      </c>
    </row>
    <row r="708" spans="1:9" x14ac:dyDescent="0.25">
      <c r="A708" s="6">
        <v>44713</v>
      </c>
      <c r="B708" s="1" t="s">
        <v>1429</v>
      </c>
      <c r="C708" s="3" t="str">
        <f>TRIM(CLEAN(PROPER(tblClean[[#This Row],[Transaction Description]])))</f>
        <v>Cultural Right Cover Large Work.</v>
      </c>
      <c r="D708" s="1" t="s">
        <v>13</v>
      </c>
      <c r="E708" s="3" t="str">
        <f>TRIM(CLEAN(PROPER(tblClean[[#This Row],[Category]])))</f>
        <v>Rent</v>
      </c>
      <c r="F708" s="10" t="s">
        <v>1430</v>
      </c>
      <c r="G708" s="1" t="s">
        <v>8</v>
      </c>
      <c r="H708" s="15">
        <f>MONTH(tblClean[[#This Row],[Date]])</f>
        <v>6</v>
      </c>
      <c r="I708" s="15">
        <f>YEAR(tblClean[[#This Row],[Date]])</f>
        <v>2022</v>
      </c>
    </row>
    <row r="709" spans="1:9" x14ac:dyDescent="0.25">
      <c r="A709" s="6">
        <v>44716</v>
      </c>
      <c r="B709" s="1" t="s">
        <v>1433</v>
      </c>
      <c r="C709" s="3" t="str">
        <f>TRIM(CLEAN(PROPER(tblClean[[#This Row],[Transaction Description]])))</f>
        <v>Evidence Enough Claim Suffer.</v>
      </c>
      <c r="D709" s="1" t="s">
        <v>30</v>
      </c>
      <c r="E709" s="3" t="str">
        <f>TRIM(CLEAN(PROPER(tblClean[[#This Row],[Category]])))</f>
        <v>Entertainment</v>
      </c>
      <c r="F709" s="10" t="s">
        <v>1434</v>
      </c>
      <c r="G709" s="1" t="s">
        <v>8</v>
      </c>
      <c r="H709" s="15">
        <f>MONTH(tblClean[[#This Row],[Date]])</f>
        <v>6</v>
      </c>
      <c r="I709" s="15">
        <f>YEAR(tblClean[[#This Row],[Date]])</f>
        <v>2022</v>
      </c>
    </row>
    <row r="710" spans="1:9" x14ac:dyDescent="0.25">
      <c r="A710" s="7">
        <v>44716</v>
      </c>
      <c r="B710" s="2" t="s">
        <v>1431</v>
      </c>
      <c r="C710" s="4" t="str">
        <f>TRIM(CLEAN(PROPER(tblClean[[#This Row],[Transaction Description]])))</f>
        <v>While Same Budget.</v>
      </c>
      <c r="D710" s="2" t="s">
        <v>6</v>
      </c>
      <c r="E710" s="3" t="str">
        <f>TRIM(CLEAN(PROPER(tblClean[[#This Row],[Category]])))</f>
        <v>Food &amp; Drink</v>
      </c>
      <c r="F710" s="11" t="s">
        <v>1432</v>
      </c>
      <c r="G710" s="2" t="s">
        <v>8</v>
      </c>
      <c r="H710" s="15">
        <f>MONTH(tblClean[[#This Row],[Date]])</f>
        <v>6</v>
      </c>
      <c r="I710" s="15">
        <f>YEAR(tblClean[[#This Row],[Date]])</f>
        <v>2022</v>
      </c>
    </row>
    <row r="711" spans="1:9" x14ac:dyDescent="0.25">
      <c r="A711" s="7">
        <v>44718</v>
      </c>
      <c r="B711" s="2" t="s">
        <v>1435</v>
      </c>
      <c r="C711" s="4" t="str">
        <f>TRIM(CLEAN(PROPER(tblClean[[#This Row],[Transaction Description]])))</f>
        <v>Letter Visit Always Up.</v>
      </c>
      <c r="D711" s="2" t="s">
        <v>16</v>
      </c>
      <c r="E711" s="3" t="str">
        <f>TRIM(CLEAN(PROPER(tblClean[[#This Row],[Category]])))</f>
        <v>Investment</v>
      </c>
      <c r="F711" s="11" t="s">
        <v>1436</v>
      </c>
      <c r="G711" s="2" t="s">
        <v>18</v>
      </c>
      <c r="H711" s="15">
        <f>MONTH(tblClean[[#This Row],[Date]])</f>
        <v>6</v>
      </c>
      <c r="I711" s="15">
        <f>YEAR(tblClean[[#This Row],[Date]])</f>
        <v>2022</v>
      </c>
    </row>
    <row r="712" spans="1:9" x14ac:dyDescent="0.25">
      <c r="A712" s="6">
        <v>44719</v>
      </c>
      <c r="B712" s="1" t="s">
        <v>1437</v>
      </c>
      <c r="C712" s="3" t="str">
        <f>TRIM(CLEAN(PROPER(tblClean[[#This Row],[Transaction Description]])))</f>
        <v>Past Product Make Of Group.</v>
      </c>
      <c r="D712" s="1" t="s">
        <v>6</v>
      </c>
      <c r="E712" s="3" t="str">
        <f>TRIM(CLEAN(PROPER(tblClean[[#This Row],[Category]])))</f>
        <v>Food &amp; Drink</v>
      </c>
      <c r="F712" s="10" t="s">
        <v>1438</v>
      </c>
      <c r="G712" s="1" t="s">
        <v>8</v>
      </c>
      <c r="H712" s="15">
        <f>MONTH(tblClean[[#This Row],[Date]])</f>
        <v>6</v>
      </c>
      <c r="I712" s="15">
        <f>YEAR(tblClean[[#This Row],[Date]])</f>
        <v>2022</v>
      </c>
    </row>
    <row r="713" spans="1:9" x14ac:dyDescent="0.25">
      <c r="A713" s="7">
        <v>44719</v>
      </c>
      <c r="B713" s="2" t="s">
        <v>1439</v>
      </c>
      <c r="C713" s="4" t="str">
        <f>TRIM(CLEAN(PROPER(tblClean[[#This Row],[Transaction Description]])))</f>
        <v>Detail Contain Attention Measure Indeed.</v>
      </c>
      <c r="D713" s="2" t="s">
        <v>38</v>
      </c>
      <c r="E713" s="3" t="str">
        <f>TRIM(CLEAN(PROPER(tblClean[[#This Row],[Category]])))</f>
        <v>Salary</v>
      </c>
      <c r="F713" s="11" t="s">
        <v>1440</v>
      </c>
      <c r="G713" s="2" t="s">
        <v>8</v>
      </c>
      <c r="H713" s="15">
        <f>MONTH(tblClean[[#This Row],[Date]])</f>
        <v>6</v>
      </c>
      <c r="I713" s="15">
        <f>YEAR(tblClean[[#This Row],[Date]])</f>
        <v>2022</v>
      </c>
    </row>
    <row r="714" spans="1:9" x14ac:dyDescent="0.25">
      <c r="A714" s="6">
        <v>44723</v>
      </c>
      <c r="B714" s="1" t="s">
        <v>1441</v>
      </c>
      <c r="C714" s="3" t="str">
        <f>TRIM(CLEAN(PROPER(tblClean[[#This Row],[Transaction Description]])))</f>
        <v>Begin Determine Degree Forward.</v>
      </c>
      <c r="D714" s="1" t="s">
        <v>27</v>
      </c>
      <c r="E714" s="3" t="str">
        <f>TRIM(CLEAN(PROPER(tblClean[[#This Row],[Category]])))</f>
        <v>Other</v>
      </c>
      <c r="F714" s="10" t="s">
        <v>1442</v>
      </c>
      <c r="G714" s="1" t="s">
        <v>18</v>
      </c>
      <c r="H714" s="15">
        <f>MONTH(tblClean[[#This Row],[Date]])</f>
        <v>6</v>
      </c>
      <c r="I714" s="15">
        <f>YEAR(tblClean[[#This Row],[Date]])</f>
        <v>2022</v>
      </c>
    </row>
    <row r="715" spans="1:9" x14ac:dyDescent="0.25">
      <c r="A715" s="7">
        <v>44723</v>
      </c>
      <c r="B715" s="2" t="s">
        <v>1443</v>
      </c>
      <c r="C715" s="4" t="str">
        <f>TRIM(CLEAN(PROPER(tblClean[[#This Row],[Transaction Description]])))</f>
        <v>Despite Sell Most.</v>
      </c>
      <c r="D715" s="2" t="s">
        <v>27</v>
      </c>
      <c r="E715" s="3" t="str">
        <f>TRIM(CLEAN(PROPER(tblClean[[#This Row],[Category]])))</f>
        <v>Other</v>
      </c>
      <c r="F715" s="11" t="s">
        <v>1444</v>
      </c>
      <c r="G715" s="2" t="s">
        <v>18</v>
      </c>
      <c r="H715" s="15">
        <f>MONTH(tblClean[[#This Row],[Date]])</f>
        <v>6</v>
      </c>
      <c r="I715" s="15">
        <f>YEAR(tblClean[[#This Row],[Date]])</f>
        <v>2022</v>
      </c>
    </row>
    <row r="716" spans="1:9" x14ac:dyDescent="0.25">
      <c r="A716" s="6">
        <v>44724</v>
      </c>
      <c r="B716" s="1" t="s">
        <v>1445</v>
      </c>
      <c r="C716" s="3" t="str">
        <f>TRIM(CLEAN(PROPER(tblClean[[#This Row],[Transaction Description]])))</f>
        <v>Boy Generation.</v>
      </c>
      <c r="D716" s="1" t="s">
        <v>6</v>
      </c>
      <c r="E716" s="3" t="str">
        <f>TRIM(CLEAN(PROPER(tblClean[[#This Row],[Category]])))</f>
        <v>Food &amp; Drink</v>
      </c>
      <c r="F716" s="10" t="s">
        <v>1446</v>
      </c>
      <c r="G716" s="1" t="s">
        <v>8</v>
      </c>
      <c r="H716" s="15">
        <f>MONTH(tblClean[[#This Row],[Date]])</f>
        <v>6</v>
      </c>
      <c r="I716" s="15">
        <f>YEAR(tblClean[[#This Row],[Date]])</f>
        <v>2022</v>
      </c>
    </row>
    <row r="717" spans="1:9" x14ac:dyDescent="0.25">
      <c r="A717" s="6">
        <v>44724</v>
      </c>
      <c r="B717" s="1" t="s">
        <v>1449</v>
      </c>
      <c r="C717" s="3" t="str">
        <f>TRIM(CLEAN(PROPER(tblClean[[#This Row],[Transaction Description]])))</f>
        <v>Either Rich Agency Might.</v>
      </c>
      <c r="D717" s="1" t="s">
        <v>13</v>
      </c>
      <c r="E717" s="3" t="str">
        <f>TRIM(CLEAN(PROPER(tblClean[[#This Row],[Category]])))</f>
        <v>Rent</v>
      </c>
      <c r="F717" s="10" t="s">
        <v>1450</v>
      </c>
      <c r="G717" s="1" t="s">
        <v>8</v>
      </c>
      <c r="H717" s="15">
        <f>MONTH(tblClean[[#This Row],[Date]])</f>
        <v>6</v>
      </c>
      <c r="I717" s="15">
        <f>YEAR(tblClean[[#This Row],[Date]])</f>
        <v>2022</v>
      </c>
    </row>
    <row r="718" spans="1:9" x14ac:dyDescent="0.25">
      <c r="A718" s="7">
        <v>44724</v>
      </c>
      <c r="B718" s="2" t="s">
        <v>1447</v>
      </c>
      <c r="C718" s="4" t="str">
        <f>TRIM(CLEAN(PROPER(tblClean[[#This Row],[Transaction Description]])))</f>
        <v>Truth During Always Those High.</v>
      </c>
      <c r="D718" s="2" t="s">
        <v>22</v>
      </c>
      <c r="E718" s="3" t="str">
        <f>TRIM(CLEAN(PROPER(tblClean[[#This Row],[Category]])))</f>
        <v>Shopping</v>
      </c>
      <c r="F718" s="11" t="s">
        <v>1448</v>
      </c>
      <c r="G718" s="2" t="s">
        <v>8</v>
      </c>
      <c r="H718" s="15">
        <f>MONTH(tblClean[[#This Row],[Date]])</f>
        <v>6</v>
      </c>
      <c r="I718" s="15">
        <f>YEAR(tblClean[[#This Row],[Date]])</f>
        <v>2022</v>
      </c>
    </row>
    <row r="719" spans="1:9" x14ac:dyDescent="0.25">
      <c r="A719" s="7">
        <v>44725</v>
      </c>
      <c r="B719" s="2" t="s">
        <v>1451</v>
      </c>
      <c r="C719" s="4" t="str">
        <f>TRIM(CLEAN(PROPER(tblClean[[#This Row],[Transaction Description]])))</f>
        <v>Sort Knowledge Analysis Together Court.</v>
      </c>
      <c r="D719" s="2" t="s">
        <v>30</v>
      </c>
      <c r="E719" s="3" t="str">
        <f>TRIM(CLEAN(PROPER(tblClean[[#This Row],[Category]])))</f>
        <v>Entertainment</v>
      </c>
      <c r="F719" s="11" t="s">
        <v>1452</v>
      </c>
      <c r="G719" s="2" t="s">
        <v>8</v>
      </c>
      <c r="H719" s="15">
        <f>MONTH(tblClean[[#This Row],[Date]])</f>
        <v>6</v>
      </c>
      <c r="I719" s="15">
        <f>YEAR(tblClean[[#This Row],[Date]])</f>
        <v>2022</v>
      </c>
    </row>
    <row r="720" spans="1:9" x14ac:dyDescent="0.25">
      <c r="A720" s="6">
        <v>44729</v>
      </c>
      <c r="B720" s="1" t="s">
        <v>1453</v>
      </c>
      <c r="C720" s="3" t="str">
        <f>TRIM(CLEAN(PROPER(tblClean[[#This Row],[Transaction Description]])))</f>
        <v>Way Cold.</v>
      </c>
      <c r="D720" s="1" t="s">
        <v>35</v>
      </c>
      <c r="E720" s="3" t="str">
        <f>TRIM(CLEAN(PROPER(tblClean[[#This Row],[Category]])))</f>
        <v>Health &amp; Fitness</v>
      </c>
      <c r="F720" s="10" t="s">
        <v>1454</v>
      </c>
      <c r="G720" s="1" t="s">
        <v>8</v>
      </c>
      <c r="H720" s="15">
        <f>MONTH(tblClean[[#This Row],[Date]])</f>
        <v>6</v>
      </c>
      <c r="I720" s="15">
        <f>YEAR(tblClean[[#This Row],[Date]])</f>
        <v>2022</v>
      </c>
    </row>
    <row r="721" spans="1:9" x14ac:dyDescent="0.25">
      <c r="A721" s="7">
        <v>44729</v>
      </c>
      <c r="B721" s="2" t="s">
        <v>1455</v>
      </c>
      <c r="C721" s="4" t="str">
        <f>TRIM(CLEAN(PROPER(tblClean[[#This Row],[Transaction Description]])))</f>
        <v>Account Assume Prove Similar Ten.</v>
      </c>
      <c r="D721" s="2" t="s">
        <v>35</v>
      </c>
      <c r="E721" s="3" t="str">
        <f>TRIM(CLEAN(PROPER(tblClean[[#This Row],[Category]])))</f>
        <v>Health &amp; Fitness</v>
      </c>
      <c r="F721" s="11" t="s">
        <v>1456</v>
      </c>
      <c r="G721" s="2" t="s">
        <v>8</v>
      </c>
      <c r="H721" s="15">
        <f>MONTH(tblClean[[#This Row],[Date]])</f>
        <v>6</v>
      </c>
      <c r="I721" s="15">
        <f>YEAR(tblClean[[#This Row],[Date]])</f>
        <v>2022</v>
      </c>
    </row>
    <row r="722" spans="1:9" x14ac:dyDescent="0.25">
      <c r="A722" s="6">
        <v>44730</v>
      </c>
      <c r="B722" s="1" t="s">
        <v>1457</v>
      </c>
      <c r="C722" s="3" t="str">
        <f>TRIM(CLEAN(PROPER(tblClean[[#This Row],[Transaction Description]])))</f>
        <v>Day Stock.</v>
      </c>
      <c r="D722" s="1" t="s">
        <v>30</v>
      </c>
      <c r="E722" s="3" t="str">
        <f>TRIM(CLEAN(PROPER(tblClean[[#This Row],[Category]])))</f>
        <v>Entertainment</v>
      </c>
      <c r="F722" s="10" t="s">
        <v>1458</v>
      </c>
      <c r="G722" s="1" t="s">
        <v>8</v>
      </c>
      <c r="H722" s="15">
        <f>MONTH(tblClean[[#This Row],[Date]])</f>
        <v>6</v>
      </c>
      <c r="I722" s="15">
        <f>YEAR(tblClean[[#This Row],[Date]])</f>
        <v>2022</v>
      </c>
    </row>
    <row r="723" spans="1:9" x14ac:dyDescent="0.25">
      <c r="A723" s="7">
        <v>44731</v>
      </c>
      <c r="B723" s="2" t="s">
        <v>1459</v>
      </c>
      <c r="C723" s="4" t="str">
        <f>TRIM(CLEAN(PROPER(tblClean[[#This Row],[Transaction Description]])))</f>
        <v>Section Child.</v>
      </c>
      <c r="D723" s="2" t="s">
        <v>13</v>
      </c>
      <c r="E723" s="3" t="str">
        <f>TRIM(CLEAN(PROPER(tblClean[[#This Row],[Category]])))</f>
        <v>Rent</v>
      </c>
      <c r="F723" s="11" t="s">
        <v>1460</v>
      </c>
      <c r="G723" s="2" t="s">
        <v>8</v>
      </c>
      <c r="H723" s="15">
        <f>MONTH(tblClean[[#This Row],[Date]])</f>
        <v>6</v>
      </c>
      <c r="I723" s="15">
        <f>YEAR(tblClean[[#This Row],[Date]])</f>
        <v>2022</v>
      </c>
    </row>
    <row r="724" spans="1:9" x14ac:dyDescent="0.25">
      <c r="A724" s="6">
        <v>44732</v>
      </c>
      <c r="B724" s="1" t="s">
        <v>1461</v>
      </c>
      <c r="C724" s="3" t="str">
        <f>TRIM(CLEAN(PROPER(tblClean[[#This Row],[Transaction Description]])))</f>
        <v>Also Available Concern Edge.</v>
      </c>
      <c r="D724" s="1" t="s">
        <v>6</v>
      </c>
      <c r="E724" s="3" t="str">
        <f>TRIM(CLEAN(PROPER(tblClean[[#This Row],[Category]])))</f>
        <v>Food &amp; Drink</v>
      </c>
      <c r="F724" s="10" t="s">
        <v>1462</v>
      </c>
      <c r="G724" s="1" t="s">
        <v>8</v>
      </c>
      <c r="H724" s="15">
        <f>MONTH(tblClean[[#This Row],[Date]])</f>
        <v>6</v>
      </c>
      <c r="I724" s="15">
        <f>YEAR(tblClean[[#This Row],[Date]])</f>
        <v>2022</v>
      </c>
    </row>
    <row r="725" spans="1:9" x14ac:dyDescent="0.25">
      <c r="A725" s="6">
        <v>44733</v>
      </c>
      <c r="B725" s="1" t="s">
        <v>1465</v>
      </c>
      <c r="C725" s="3" t="str">
        <f>TRIM(CLEAN(PROPER(tblClean[[#This Row],[Transaction Description]])))</f>
        <v>Hope Brother.</v>
      </c>
      <c r="D725" s="1" t="s">
        <v>16</v>
      </c>
      <c r="E725" s="3" t="str">
        <f>TRIM(CLEAN(PROPER(tblClean[[#This Row],[Category]])))</f>
        <v>Investment</v>
      </c>
      <c r="F725" s="10" t="s">
        <v>1466</v>
      </c>
      <c r="G725" s="1" t="s">
        <v>18</v>
      </c>
      <c r="H725" s="15">
        <f>MONTH(tblClean[[#This Row],[Date]])</f>
        <v>6</v>
      </c>
      <c r="I725" s="15">
        <f>YEAR(tblClean[[#This Row],[Date]])</f>
        <v>2022</v>
      </c>
    </row>
    <row r="726" spans="1:9" x14ac:dyDescent="0.25">
      <c r="A726" s="7">
        <v>44733</v>
      </c>
      <c r="B726" s="2" t="s">
        <v>1463</v>
      </c>
      <c r="C726" s="4" t="str">
        <f>TRIM(CLEAN(PROPER(tblClean[[#This Row],[Transaction Description]])))</f>
        <v>Start Treat Imagine Later Identify.</v>
      </c>
      <c r="D726" s="2" t="s">
        <v>38</v>
      </c>
      <c r="E726" s="3" t="str">
        <f>TRIM(CLEAN(PROPER(tblClean[[#This Row],[Category]])))</f>
        <v>Salary</v>
      </c>
      <c r="F726" s="11" t="s">
        <v>1464</v>
      </c>
      <c r="G726" s="2" t="s">
        <v>8</v>
      </c>
      <c r="H726" s="15">
        <f>MONTH(tblClean[[#This Row],[Date]])</f>
        <v>6</v>
      </c>
      <c r="I726" s="15">
        <f>YEAR(tblClean[[#This Row],[Date]])</f>
        <v>2022</v>
      </c>
    </row>
    <row r="727" spans="1:9" x14ac:dyDescent="0.25">
      <c r="A727" s="6">
        <v>44735</v>
      </c>
      <c r="B727" s="1" t="s">
        <v>1469</v>
      </c>
      <c r="C727" s="3" t="str">
        <f>TRIM(CLEAN(PROPER(tblClean[[#This Row],[Transaction Description]])))</f>
        <v>Face Rate.</v>
      </c>
      <c r="D727" s="1" t="s">
        <v>13</v>
      </c>
      <c r="E727" s="3" t="str">
        <f>TRIM(CLEAN(PROPER(tblClean[[#This Row],[Category]])))</f>
        <v>Rent</v>
      </c>
      <c r="F727" s="10" t="s">
        <v>1470</v>
      </c>
      <c r="G727" s="1" t="s">
        <v>8</v>
      </c>
      <c r="H727" s="15">
        <f>MONTH(tblClean[[#This Row],[Date]])</f>
        <v>6</v>
      </c>
      <c r="I727" s="15">
        <f>YEAR(tblClean[[#This Row],[Date]])</f>
        <v>2022</v>
      </c>
    </row>
    <row r="728" spans="1:9" x14ac:dyDescent="0.25">
      <c r="A728" s="7">
        <v>44735</v>
      </c>
      <c r="B728" s="2" t="s">
        <v>1467</v>
      </c>
      <c r="C728" s="4" t="str">
        <f>TRIM(CLEAN(PROPER(tblClean[[#This Row],[Transaction Description]])))</f>
        <v>As Second Animal Summer Group.</v>
      </c>
      <c r="D728" s="2" t="s">
        <v>22</v>
      </c>
      <c r="E728" s="3" t="str">
        <f>TRIM(CLEAN(PROPER(tblClean[[#This Row],[Category]])))</f>
        <v>Shopping</v>
      </c>
      <c r="F728" s="11" t="s">
        <v>1468</v>
      </c>
      <c r="G728" s="2" t="s">
        <v>8</v>
      </c>
      <c r="H728" s="15">
        <f>MONTH(tblClean[[#This Row],[Date]])</f>
        <v>6</v>
      </c>
      <c r="I728" s="15">
        <f>YEAR(tblClean[[#This Row],[Date]])</f>
        <v>2022</v>
      </c>
    </row>
    <row r="729" spans="1:9" x14ac:dyDescent="0.25">
      <c r="A729" s="7">
        <v>44737</v>
      </c>
      <c r="B729" s="2" t="s">
        <v>1471</v>
      </c>
      <c r="C729" s="4" t="str">
        <f>TRIM(CLEAN(PROPER(tblClean[[#This Row],[Transaction Description]])))</f>
        <v>She Join House.</v>
      </c>
      <c r="D729" s="2" t="s">
        <v>30</v>
      </c>
      <c r="E729" s="3" t="str">
        <f>TRIM(CLEAN(PROPER(tblClean[[#This Row],[Category]])))</f>
        <v>Entertainment</v>
      </c>
      <c r="F729" s="11" t="s">
        <v>1472</v>
      </c>
      <c r="G729" s="2" t="s">
        <v>8</v>
      </c>
      <c r="H729" s="15">
        <f>MONTH(tblClean[[#This Row],[Date]])</f>
        <v>6</v>
      </c>
      <c r="I729" s="15">
        <f>YEAR(tblClean[[#This Row],[Date]])</f>
        <v>2022</v>
      </c>
    </row>
    <row r="730" spans="1:9" x14ac:dyDescent="0.25">
      <c r="A730" s="6">
        <v>44737</v>
      </c>
      <c r="B730" s="1" t="s">
        <v>1473</v>
      </c>
      <c r="C730" s="3" t="str">
        <f>TRIM(CLEAN(PROPER(tblClean[[#This Row],[Transaction Description]])))</f>
        <v>Choose Detail Section Someone.</v>
      </c>
      <c r="D730" s="1" t="s">
        <v>38</v>
      </c>
      <c r="E730" s="3" t="str">
        <f>TRIM(CLEAN(PROPER(tblClean[[#This Row],[Category]])))</f>
        <v>Salary</v>
      </c>
      <c r="F730" s="10" t="s">
        <v>1474</v>
      </c>
      <c r="G730" s="1" t="s">
        <v>8</v>
      </c>
      <c r="H730" s="15">
        <f>MONTH(tblClean[[#This Row],[Date]])</f>
        <v>6</v>
      </c>
      <c r="I730" s="15">
        <f>YEAR(tblClean[[#This Row],[Date]])</f>
        <v>2022</v>
      </c>
    </row>
    <row r="731" spans="1:9" x14ac:dyDescent="0.25">
      <c r="A731" s="6">
        <v>44738</v>
      </c>
      <c r="B731" s="1" t="s">
        <v>1477</v>
      </c>
      <c r="C731" s="3" t="str">
        <f>TRIM(CLEAN(PROPER(tblClean[[#This Row],[Transaction Description]])))</f>
        <v>Network Never.</v>
      </c>
      <c r="D731" s="1" t="s">
        <v>6</v>
      </c>
      <c r="E731" s="3" t="str">
        <f>TRIM(CLEAN(PROPER(tblClean[[#This Row],[Category]])))</f>
        <v>Food &amp; Drink</v>
      </c>
      <c r="F731" s="10" t="s">
        <v>1478</v>
      </c>
      <c r="G731" s="1" t="s">
        <v>8</v>
      </c>
      <c r="H731" s="15">
        <f>MONTH(tblClean[[#This Row],[Date]])</f>
        <v>6</v>
      </c>
      <c r="I731" s="15">
        <f>YEAR(tblClean[[#This Row],[Date]])</f>
        <v>2022</v>
      </c>
    </row>
    <row r="732" spans="1:9" x14ac:dyDescent="0.25">
      <c r="A732" s="7">
        <v>44738</v>
      </c>
      <c r="B732" s="2" t="s">
        <v>1475</v>
      </c>
      <c r="C732" s="4" t="str">
        <f>TRIM(CLEAN(PROPER(tblClean[[#This Row],[Transaction Description]])))</f>
        <v>Whether Century Quality.</v>
      </c>
      <c r="D732" s="2" t="s">
        <v>53</v>
      </c>
      <c r="E732" s="3" t="str">
        <f>TRIM(CLEAN(PROPER(tblClean[[#This Row],[Category]])))</f>
        <v>Travel</v>
      </c>
      <c r="F732" s="11" t="s">
        <v>1476</v>
      </c>
      <c r="G732" s="2" t="s">
        <v>8</v>
      </c>
      <c r="H732" s="15">
        <f>MONTH(tblClean[[#This Row],[Date]])</f>
        <v>6</v>
      </c>
      <c r="I732" s="15">
        <f>YEAR(tblClean[[#This Row],[Date]])</f>
        <v>2022</v>
      </c>
    </row>
    <row r="733" spans="1:9" x14ac:dyDescent="0.25">
      <c r="A733" s="7">
        <v>44742</v>
      </c>
      <c r="B733" s="2" t="s">
        <v>1479</v>
      </c>
      <c r="C733" s="4" t="str">
        <f>TRIM(CLEAN(PROPER(tblClean[[#This Row],[Transaction Description]])))</f>
        <v>Above Others.</v>
      </c>
      <c r="D733" s="2" t="s">
        <v>6</v>
      </c>
      <c r="E733" s="3" t="str">
        <f>TRIM(CLEAN(PROPER(tblClean[[#This Row],[Category]])))</f>
        <v>Food &amp; Drink</v>
      </c>
      <c r="F733" s="11" t="s">
        <v>1480</v>
      </c>
      <c r="G733" s="2" t="s">
        <v>8</v>
      </c>
      <c r="H733" s="15">
        <f>MONTH(tblClean[[#This Row],[Date]])</f>
        <v>6</v>
      </c>
      <c r="I733" s="15">
        <f>YEAR(tblClean[[#This Row],[Date]])</f>
        <v>2022</v>
      </c>
    </row>
    <row r="734" spans="1:9" x14ac:dyDescent="0.25">
      <c r="A734" s="6">
        <v>44743</v>
      </c>
      <c r="B734" s="1" t="s">
        <v>1481</v>
      </c>
      <c r="C734" s="3" t="str">
        <f>TRIM(CLEAN(PROPER(tblClean[[#This Row],[Transaction Description]])))</f>
        <v>Water Fight Security Tough Gas.</v>
      </c>
      <c r="D734" s="1" t="s">
        <v>22</v>
      </c>
      <c r="E734" s="3" t="str">
        <f>TRIM(CLEAN(PROPER(tblClean[[#This Row],[Category]])))</f>
        <v>Shopping</v>
      </c>
      <c r="F734" s="10" t="s">
        <v>1482</v>
      </c>
      <c r="G734" s="1" t="s">
        <v>8</v>
      </c>
      <c r="H734" s="15">
        <f>MONTH(tblClean[[#This Row],[Date]])</f>
        <v>7</v>
      </c>
      <c r="I734" s="15">
        <f>YEAR(tblClean[[#This Row],[Date]])</f>
        <v>2022</v>
      </c>
    </row>
    <row r="735" spans="1:9" x14ac:dyDescent="0.25">
      <c r="A735" s="7">
        <v>44744</v>
      </c>
      <c r="B735" s="2" t="s">
        <v>1483</v>
      </c>
      <c r="C735" s="4" t="str">
        <f>TRIM(CLEAN(PROPER(tblClean[[#This Row],[Transaction Description]])))</f>
        <v>Central Contain Pattern Education Boy.</v>
      </c>
      <c r="D735" s="2" t="s">
        <v>30</v>
      </c>
      <c r="E735" s="3" t="str">
        <f>TRIM(CLEAN(PROPER(tblClean[[#This Row],[Category]])))</f>
        <v>Entertainment</v>
      </c>
      <c r="F735" s="11" t="s">
        <v>1484</v>
      </c>
      <c r="G735" s="2" t="s">
        <v>8</v>
      </c>
      <c r="H735" s="15">
        <f>MONTH(tblClean[[#This Row],[Date]])</f>
        <v>7</v>
      </c>
      <c r="I735" s="15">
        <f>YEAR(tblClean[[#This Row],[Date]])</f>
        <v>2022</v>
      </c>
    </row>
    <row r="736" spans="1:9" x14ac:dyDescent="0.25">
      <c r="A736" s="6">
        <v>44746</v>
      </c>
      <c r="B736" s="1" t="s">
        <v>1489</v>
      </c>
      <c r="C736" s="3" t="str">
        <f>TRIM(CLEAN(PROPER(tblClean[[#This Row],[Transaction Description]])))</f>
        <v>Maintain Former Campaign Pretty Beyond.</v>
      </c>
      <c r="D736" s="1" t="s">
        <v>6</v>
      </c>
      <c r="E736" s="3" t="str">
        <f>TRIM(CLEAN(PROPER(tblClean[[#This Row],[Category]])))</f>
        <v>Food &amp; Drink</v>
      </c>
      <c r="F736" s="10" t="s">
        <v>1490</v>
      </c>
      <c r="G736" s="1" t="s">
        <v>8</v>
      </c>
      <c r="H736" s="15">
        <f>MONTH(tblClean[[#This Row],[Date]])</f>
        <v>7</v>
      </c>
      <c r="I736" s="15">
        <f>YEAR(tblClean[[#This Row],[Date]])</f>
        <v>2022</v>
      </c>
    </row>
    <row r="737" spans="1:9" x14ac:dyDescent="0.25">
      <c r="A737" s="6">
        <v>44746</v>
      </c>
      <c r="B737" s="1" t="s">
        <v>1485</v>
      </c>
      <c r="C737" s="3" t="str">
        <f>TRIM(CLEAN(PROPER(tblClean[[#This Row],[Transaction Description]])))</f>
        <v>Surface Usually.</v>
      </c>
      <c r="D737" s="1" t="s">
        <v>35</v>
      </c>
      <c r="E737" s="3" t="str">
        <f>TRIM(CLEAN(PROPER(tblClean[[#This Row],[Category]])))</f>
        <v>Health &amp; Fitness</v>
      </c>
      <c r="F737" s="10" t="s">
        <v>1486</v>
      </c>
      <c r="G737" s="1" t="s">
        <v>8</v>
      </c>
      <c r="H737" s="15">
        <f>MONTH(tblClean[[#This Row],[Date]])</f>
        <v>7</v>
      </c>
      <c r="I737" s="15">
        <f>YEAR(tblClean[[#This Row],[Date]])</f>
        <v>2022</v>
      </c>
    </row>
    <row r="738" spans="1:9" x14ac:dyDescent="0.25">
      <c r="A738" s="7">
        <v>44746</v>
      </c>
      <c r="B738" s="2" t="s">
        <v>1487</v>
      </c>
      <c r="C738" s="4" t="str">
        <f>TRIM(CLEAN(PROPER(tblClean[[#This Row],[Transaction Description]])))</f>
        <v>Popular Available Public Economy.</v>
      </c>
      <c r="D738" s="2" t="s">
        <v>13</v>
      </c>
      <c r="E738" s="3" t="str">
        <f>TRIM(CLEAN(PROPER(tblClean[[#This Row],[Category]])))</f>
        <v>Rent</v>
      </c>
      <c r="F738" s="11" t="s">
        <v>1488</v>
      </c>
      <c r="G738" s="2" t="s">
        <v>8</v>
      </c>
      <c r="H738" s="15">
        <f>MONTH(tblClean[[#This Row],[Date]])</f>
        <v>7</v>
      </c>
      <c r="I738" s="15">
        <f>YEAR(tblClean[[#This Row],[Date]])</f>
        <v>2022</v>
      </c>
    </row>
    <row r="739" spans="1:9" x14ac:dyDescent="0.25">
      <c r="A739" s="7">
        <v>44747</v>
      </c>
      <c r="B739" s="2" t="s">
        <v>1491</v>
      </c>
      <c r="C739" s="4" t="str">
        <f>TRIM(CLEAN(PROPER(tblClean[[#This Row],[Transaction Description]])))</f>
        <v>Fish Late Pattern.</v>
      </c>
      <c r="D739" s="2" t="s">
        <v>13</v>
      </c>
      <c r="E739" s="3" t="str">
        <f>TRIM(CLEAN(PROPER(tblClean[[#This Row],[Category]])))</f>
        <v>Rent</v>
      </c>
      <c r="F739" s="11" t="s">
        <v>1492</v>
      </c>
      <c r="G739" s="2" t="s">
        <v>8</v>
      </c>
      <c r="H739" s="15">
        <f>MONTH(tblClean[[#This Row],[Date]])</f>
        <v>7</v>
      </c>
      <c r="I739" s="15">
        <f>YEAR(tblClean[[#This Row],[Date]])</f>
        <v>2022</v>
      </c>
    </row>
    <row r="740" spans="1:9" x14ac:dyDescent="0.25">
      <c r="A740" s="6">
        <v>44748</v>
      </c>
      <c r="B740" s="1" t="s">
        <v>1493</v>
      </c>
      <c r="C740" s="3" t="str">
        <f>TRIM(CLEAN(PROPER(tblClean[[#This Row],[Transaction Description]])))</f>
        <v>Charge Note Space When Collection.</v>
      </c>
      <c r="D740" s="1" t="s">
        <v>22</v>
      </c>
      <c r="E740" s="3" t="str">
        <f>TRIM(CLEAN(PROPER(tblClean[[#This Row],[Category]])))</f>
        <v>Shopping</v>
      </c>
      <c r="F740" s="10" t="s">
        <v>1494</v>
      </c>
      <c r="G740" s="1" t="s">
        <v>8</v>
      </c>
      <c r="H740" s="15">
        <f>MONTH(tblClean[[#This Row],[Date]])</f>
        <v>7</v>
      </c>
      <c r="I740" s="15">
        <f>YEAR(tblClean[[#This Row],[Date]])</f>
        <v>2022</v>
      </c>
    </row>
    <row r="741" spans="1:9" x14ac:dyDescent="0.25">
      <c r="A741" s="7">
        <v>44755</v>
      </c>
      <c r="B741" s="2" t="s">
        <v>1495</v>
      </c>
      <c r="C741" s="4" t="str">
        <f>TRIM(CLEAN(PROPER(tblClean[[#This Row],[Transaction Description]])))</f>
        <v>Size Republican Political.</v>
      </c>
      <c r="D741" s="2" t="s">
        <v>53</v>
      </c>
      <c r="E741" s="3" t="str">
        <f>TRIM(CLEAN(PROPER(tblClean[[#This Row],[Category]])))</f>
        <v>Travel</v>
      </c>
      <c r="F741" s="11" t="s">
        <v>1496</v>
      </c>
      <c r="G741" s="2" t="s">
        <v>8</v>
      </c>
      <c r="H741" s="15">
        <f>MONTH(tblClean[[#This Row],[Date]])</f>
        <v>7</v>
      </c>
      <c r="I741" s="15">
        <f>YEAR(tblClean[[#This Row],[Date]])</f>
        <v>2022</v>
      </c>
    </row>
    <row r="742" spans="1:9" x14ac:dyDescent="0.25">
      <c r="A742" s="6">
        <v>44759</v>
      </c>
      <c r="B742" s="1" t="s">
        <v>1497</v>
      </c>
      <c r="C742" s="3" t="str">
        <f>TRIM(CLEAN(PROPER(tblClean[[#This Row],[Transaction Description]])))</f>
        <v>Care Run There Leg.</v>
      </c>
      <c r="D742" s="1" t="s">
        <v>30</v>
      </c>
      <c r="E742" s="3" t="str">
        <f>TRIM(CLEAN(PROPER(tblClean[[#This Row],[Category]])))</f>
        <v>Entertainment</v>
      </c>
      <c r="F742" s="10" t="s">
        <v>1498</v>
      </c>
      <c r="G742" s="1" t="s">
        <v>8</v>
      </c>
      <c r="H742" s="15">
        <f>MONTH(tblClean[[#This Row],[Date]])</f>
        <v>7</v>
      </c>
      <c r="I742" s="15">
        <f>YEAR(tblClean[[#This Row],[Date]])</f>
        <v>2022</v>
      </c>
    </row>
    <row r="743" spans="1:9" x14ac:dyDescent="0.25">
      <c r="A743" s="7">
        <v>44759</v>
      </c>
      <c r="B743" s="2" t="s">
        <v>1499</v>
      </c>
      <c r="C743" s="4" t="str">
        <f>TRIM(CLEAN(PROPER(tblClean[[#This Row],[Transaction Description]])))</f>
        <v>Main Board Population.</v>
      </c>
      <c r="D743" s="2" t="s">
        <v>22</v>
      </c>
      <c r="E743" s="3" t="str">
        <f>TRIM(CLEAN(PROPER(tblClean[[#This Row],[Category]])))</f>
        <v>Shopping</v>
      </c>
      <c r="F743" s="11" t="s">
        <v>1500</v>
      </c>
      <c r="G743" s="2" t="s">
        <v>8</v>
      </c>
      <c r="H743" s="15">
        <f>MONTH(tblClean[[#This Row],[Date]])</f>
        <v>7</v>
      </c>
      <c r="I743" s="15">
        <f>YEAR(tblClean[[#This Row],[Date]])</f>
        <v>2022</v>
      </c>
    </row>
    <row r="744" spans="1:9" x14ac:dyDescent="0.25">
      <c r="A744" s="6">
        <v>44759</v>
      </c>
      <c r="B744" s="1" t="s">
        <v>1501</v>
      </c>
      <c r="C744" s="3" t="str">
        <f>TRIM(CLEAN(PROPER(tblClean[[#This Row],[Transaction Description]])))</f>
        <v>Teach Cause Mrs.</v>
      </c>
      <c r="D744" s="1" t="s">
        <v>22</v>
      </c>
      <c r="E744" s="3" t="str">
        <f>TRIM(CLEAN(PROPER(tblClean[[#This Row],[Category]])))</f>
        <v>Shopping</v>
      </c>
      <c r="F744" s="10" t="s">
        <v>1502</v>
      </c>
      <c r="G744" s="1" t="s">
        <v>8</v>
      </c>
      <c r="H744" s="15">
        <f>MONTH(tblClean[[#This Row],[Date]])</f>
        <v>7</v>
      </c>
      <c r="I744" s="15">
        <f>YEAR(tblClean[[#This Row],[Date]])</f>
        <v>2022</v>
      </c>
    </row>
    <row r="745" spans="1:9" x14ac:dyDescent="0.25">
      <c r="A745" s="7">
        <v>44760</v>
      </c>
      <c r="B745" s="2" t="s">
        <v>1503</v>
      </c>
      <c r="C745" s="4" t="str">
        <f>TRIM(CLEAN(PROPER(tblClean[[#This Row],[Transaction Description]])))</f>
        <v>Baby Away Affect Medical All.</v>
      </c>
      <c r="D745" s="2" t="s">
        <v>30</v>
      </c>
      <c r="E745" s="3" t="str">
        <f>TRIM(CLEAN(PROPER(tblClean[[#This Row],[Category]])))</f>
        <v>Entertainment</v>
      </c>
      <c r="F745" s="11" t="s">
        <v>1504</v>
      </c>
      <c r="G745" s="2" t="s">
        <v>8</v>
      </c>
      <c r="H745" s="15">
        <f>MONTH(tblClean[[#This Row],[Date]])</f>
        <v>7</v>
      </c>
      <c r="I745" s="15">
        <f>YEAR(tblClean[[#This Row],[Date]])</f>
        <v>2022</v>
      </c>
    </row>
    <row r="746" spans="1:9" x14ac:dyDescent="0.25">
      <c r="A746" s="6">
        <v>44760</v>
      </c>
      <c r="B746" s="1" t="s">
        <v>1505</v>
      </c>
      <c r="C746" s="3" t="str">
        <f>TRIM(CLEAN(PROPER(tblClean[[#This Row],[Transaction Description]])))</f>
        <v>If Operation Trade Necessary Myself.</v>
      </c>
      <c r="D746" s="1" t="s">
        <v>16</v>
      </c>
      <c r="E746" s="3" t="str">
        <f>TRIM(CLEAN(PROPER(tblClean[[#This Row],[Category]])))</f>
        <v>Investment</v>
      </c>
      <c r="F746" s="10" t="s">
        <v>1506</v>
      </c>
      <c r="G746" s="1" t="s">
        <v>18</v>
      </c>
      <c r="H746" s="15">
        <f>MONTH(tblClean[[#This Row],[Date]])</f>
        <v>7</v>
      </c>
      <c r="I746" s="15">
        <f>YEAR(tblClean[[#This Row],[Date]])</f>
        <v>2022</v>
      </c>
    </row>
    <row r="747" spans="1:9" x14ac:dyDescent="0.25">
      <c r="A747" s="7">
        <v>44761</v>
      </c>
      <c r="B747" s="2" t="s">
        <v>1507</v>
      </c>
      <c r="C747" s="4" t="str">
        <f>TRIM(CLEAN(PROPER(tblClean[[#This Row],[Transaction Description]])))</f>
        <v>President Chance Hotel Through.</v>
      </c>
      <c r="D747" s="2" t="s">
        <v>10</v>
      </c>
      <c r="E747" s="3" t="str">
        <f>TRIM(CLEAN(PROPER(tblClean[[#This Row],[Category]])))</f>
        <v>Utilities</v>
      </c>
      <c r="F747" s="11" t="s">
        <v>1508</v>
      </c>
      <c r="G747" s="2" t="s">
        <v>8</v>
      </c>
      <c r="H747" s="15">
        <f>MONTH(tblClean[[#This Row],[Date]])</f>
        <v>7</v>
      </c>
      <c r="I747" s="15">
        <f>YEAR(tblClean[[#This Row],[Date]])</f>
        <v>2022</v>
      </c>
    </row>
    <row r="748" spans="1:9" x14ac:dyDescent="0.25">
      <c r="A748" s="6">
        <v>44762</v>
      </c>
      <c r="B748" s="1" t="s">
        <v>1509</v>
      </c>
      <c r="C748" s="3" t="str">
        <f>TRIM(CLEAN(PROPER(tblClean[[#This Row],[Transaction Description]])))</f>
        <v>Let Member However.</v>
      </c>
      <c r="D748" s="1" t="s">
        <v>13</v>
      </c>
      <c r="E748" s="3" t="str">
        <f>TRIM(CLEAN(PROPER(tblClean[[#This Row],[Category]])))</f>
        <v>Rent</v>
      </c>
      <c r="F748" s="10" t="s">
        <v>1510</v>
      </c>
      <c r="G748" s="1" t="s">
        <v>8</v>
      </c>
      <c r="H748" s="15">
        <f>MONTH(tblClean[[#This Row],[Date]])</f>
        <v>7</v>
      </c>
      <c r="I748" s="15">
        <f>YEAR(tblClean[[#This Row],[Date]])</f>
        <v>2022</v>
      </c>
    </row>
    <row r="749" spans="1:9" x14ac:dyDescent="0.25">
      <c r="A749" s="7">
        <v>44764</v>
      </c>
      <c r="B749" s="2" t="s">
        <v>1511</v>
      </c>
      <c r="C749" s="4" t="str">
        <f>TRIM(CLEAN(PROPER(tblClean[[#This Row],[Transaction Description]])))</f>
        <v>Production Summer.</v>
      </c>
      <c r="D749" s="2" t="s">
        <v>38</v>
      </c>
      <c r="E749" s="3" t="str">
        <f>TRIM(CLEAN(PROPER(tblClean[[#This Row],[Category]])))</f>
        <v>Salary</v>
      </c>
      <c r="F749" s="11" t="s">
        <v>1512</v>
      </c>
      <c r="G749" s="2" t="s">
        <v>8</v>
      </c>
      <c r="H749" s="15">
        <f>MONTH(tblClean[[#This Row],[Date]])</f>
        <v>7</v>
      </c>
      <c r="I749" s="15">
        <f>YEAR(tblClean[[#This Row],[Date]])</f>
        <v>2022</v>
      </c>
    </row>
    <row r="750" spans="1:9" x14ac:dyDescent="0.25">
      <c r="A750" s="6">
        <v>44767</v>
      </c>
      <c r="B750" s="1" t="s">
        <v>1513</v>
      </c>
      <c r="C750" s="3" t="str">
        <f>TRIM(CLEAN(PROPER(tblClean[[#This Row],[Transaction Description]])))</f>
        <v>Cell City Not Not The.</v>
      </c>
      <c r="D750" s="1" t="s">
        <v>10</v>
      </c>
      <c r="E750" s="3" t="str">
        <f>TRIM(CLEAN(PROPER(tblClean[[#This Row],[Category]])))</f>
        <v>Utilities</v>
      </c>
      <c r="F750" s="10" t="s">
        <v>1514</v>
      </c>
      <c r="G750" s="1" t="s">
        <v>8</v>
      </c>
      <c r="H750" s="15">
        <f>MONTH(tblClean[[#This Row],[Date]])</f>
        <v>7</v>
      </c>
      <c r="I750" s="15">
        <f>YEAR(tblClean[[#This Row],[Date]])</f>
        <v>2022</v>
      </c>
    </row>
    <row r="751" spans="1:9" x14ac:dyDescent="0.25">
      <c r="A751" s="7">
        <v>44769</v>
      </c>
      <c r="B751" s="2" t="s">
        <v>1519</v>
      </c>
      <c r="C751" s="4" t="str">
        <f>TRIM(CLEAN(PROPER(tblClean[[#This Row],[Transaction Description]])))</f>
        <v>Truth Thing Always Possible.</v>
      </c>
      <c r="D751" s="2" t="s">
        <v>6</v>
      </c>
      <c r="E751" s="3" t="str">
        <f>TRIM(CLEAN(PROPER(tblClean[[#This Row],[Category]])))</f>
        <v>Food &amp; Drink</v>
      </c>
      <c r="F751" s="11" t="s">
        <v>1520</v>
      </c>
      <c r="G751" s="2" t="s">
        <v>8</v>
      </c>
      <c r="H751" s="15">
        <f>MONTH(tblClean[[#This Row],[Date]])</f>
        <v>7</v>
      </c>
      <c r="I751" s="15">
        <f>YEAR(tblClean[[#This Row],[Date]])</f>
        <v>2022</v>
      </c>
    </row>
    <row r="752" spans="1:9" x14ac:dyDescent="0.25">
      <c r="A752" s="6">
        <v>44769</v>
      </c>
      <c r="B752" s="1" t="s">
        <v>1517</v>
      </c>
      <c r="C752" s="3" t="str">
        <f>TRIM(CLEAN(PROPER(tblClean[[#This Row],[Transaction Description]])))</f>
        <v>Doctor Protect Military Social.</v>
      </c>
      <c r="D752" s="1" t="s">
        <v>16</v>
      </c>
      <c r="E752" s="3" t="str">
        <f>TRIM(CLEAN(PROPER(tblClean[[#This Row],[Category]])))</f>
        <v>Investment</v>
      </c>
      <c r="F752" s="10" t="s">
        <v>1518</v>
      </c>
      <c r="G752" s="1" t="s">
        <v>18</v>
      </c>
      <c r="H752" s="15">
        <f>MONTH(tblClean[[#This Row],[Date]])</f>
        <v>7</v>
      </c>
      <c r="I752" s="15">
        <f>YEAR(tblClean[[#This Row],[Date]])</f>
        <v>2022</v>
      </c>
    </row>
    <row r="753" spans="1:9" x14ac:dyDescent="0.25">
      <c r="A753" s="6">
        <v>44769</v>
      </c>
      <c r="B753" s="1" t="s">
        <v>1521</v>
      </c>
      <c r="C753" s="3" t="str">
        <f>TRIM(CLEAN(PROPER(tblClean[[#This Row],[Transaction Description]])))</f>
        <v>Plant Event Score Official Now.</v>
      </c>
      <c r="D753" s="1" t="s">
        <v>13</v>
      </c>
      <c r="E753" s="3" t="str">
        <f>TRIM(CLEAN(PROPER(tblClean[[#This Row],[Category]])))</f>
        <v>Rent</v>
      </c>
      <c r="F753" s="10" t="s">
        <v>1522</v>
      </c>
      <c r="G753" s="1" t="s">
        <v>8</v>
      </c>
      <c r="H753" s="15">
        <f>MONTH(tblClean[[#This Row],[Date]])</f>
        <v>7</v>
      </c>
      <c r="I753" s="15">
        <f>YEAR(tblClean[[#This Row],[Date]])</f>
        <v>2022</v>
      </c>
    </row>
    <row r="754" spans="1:9" x14ac:dyDescent="0.25">
      <c r="A754" s="7">
        <v>44769</v>
      </c>
      <c r="B754" s="2" t="s">
        <v>1515</v>
      </c>
      <c r="C754" s="4" t="str">
        <f>TRIM(CLEAN(PROPER(tblClean[[#This Row],[Transaction Description]])))</f>
        <v>Voice American Seven Discussion.</v>
      </c>
      <c r="D754" s="2" t="s">
        <v>22</v>
      </c>
      <c r="E754" s="3" t="str">
        <f>TRIM(CLEAN(PROPER(tblClean[[#This Row],[Category]])))</f>
        <v>Shopping</v>
      </c>
      <c r="F754" s="11" t="s">
        <v>1516</v>
      </c>
      <c r="G754" s="2" t="s">
        <v>8</v>
      </c>
      <c r="H754" s="15">
        <f>MONTH(tblClean[[#This Row],[Date]])</f>
        <v>7</v>
      </c>
      <c r="I754" s="15">
        <f>YEAR(tblClean[[#This Row],[Date]])</f>
        <v>2022</v>
      </c>
    </row>
    <row r="755" spans="1:9" x14ac:dyDescent="0.25">
      <c r="A755" s="7">
        <v>44770</v>
      </c>
      <c r="B755" s="2" t="s">
        <v>1523</v>
      </c>
      <c r="C755" s="4" t="str">
        <f>TRIM(CLEAN(PROPER(tblClean[[#This Row],[Transaction Description]])))</f>
        <v>Half President Structure Might.</v>
      </c>
      <c r="D755" s="2" t="s">
        <v>30</v>
      </c>
      <c r="E755" s="3" t="str">
        <f>TRIM(CLEAN(PROPER(tblClean[[#This Row],[Category]])))</f>
        <v>Entertainment</v>
      </c>
      <c r="F755" s="11" t="s">
        <v>1524</v>
      </c>
      <c r="G755" s="2" t="s">
        <v>8</v>
      </c>
      <c r="H755" s="15">
        <f>MONTH(tblClean[[#This Row],[Date]])</f>
        <v>7</v>
      </c>
      <c r="I755" s="15">
        <f>YEAR(tblClean[[#This Row],[Date]])</f>
        <v>2022</v>
      </c>
    </row>
    <row r="756" spans="1:9" x14ac:dyDescent="0.25">
      <c r="A756" s="6">
        <v>44770</v>
      </c>
      <c r="B756" s="1" t="s">
        <v>1525</v>
      </c>
      <c r="C756" s="3" t="str">
        <f>TRIM(CLEAN(PROPER(tblClean[[#This Row],[Transaction Description]])))</f>
        <v>Might Good Test.</v>
      </c>
      <c r="D756" s="1" t="s">
        <v>27</v>
      </c>
      <c r="E756" s="3" t="str">
        <f>TRIM(CLEAN(PROPER(tblClean[[#This Row],[Category]])))</f>
        <v>Other</v>
      </c>
      <c r="F756" s="10" t="s">
        <v>1526</v>
      </c>
      <c r="G756" s="1" t="s">
        <v>18</v>
      </c>
      <c r="H756" s="15">
        <f>MONTH(tblClean[[#This Row],[Date]])</f>
        <v>7</v>
      </c>
      <c r="I756" s="15">
        <f>YEAR(tblClean[[#This Row],[Date]])</f>
        <v>2022</v>
      </c>
    </row>
    <row r="757" spans="1:9" x14ac:dyDescent="0.25">
      <c r="A757" s="7">
        <v>44771</v>
      </c>
      <c r="B757" s="2" t="s">
        <v>1527</v>
      </c>
      <c r="C757" s="4" t="str">
        <f>TRIM(CLEAN(PROPER(tblClean[[#This Row],[Transaction Description]])))</f>
        <v>Thought According Think Key.</v>
      </c>
      <c r="D757" s="2" t="s">
        <v>27</v>
      </c>
      <c r="E757" s="3" t="str">
        <f>TRIM(CLEAN(PROPER(tblClean[[#This Row],[Category]])))</f>
        <v>Other</v>
      </c>
      <c r="F757" s="11" t="s">
        <v>1528</v>
      </c>
      <c r="G757" s="2" t="s">
        <v>18</v>
      </c>
      <c r="H757" s="15">
        <f>MONTH(tblClean[[#This Row],[Date]])</f>
        <v>7</v>
      </c>
      <c r="I757" s="15">
        <f>YEAR(tblClean[[#This Row],[Date]])</f>
        <v>2022</v>
      </c>
    </row>
    <row r="758" spans="1:9" x14ac:dyDescent="0.25">
      <c r="A758" s="6">
        <v>44772</v>
      </c>
      <c r="B758" s="1" t="s">
        <v>1529</v>
      </c>
      <c r="C758" s="3" t="str">
        <f>TRIM(CLEAN(PROPER(tblClean[[#This Row],[Transaction Description]])))</f>
        <v>Method Exactly.</v>
      </c>
      <c r="D758" s="1" t="s">
        <v>13</v>
      </c>
      <c r="E758" s="3" t="str">
        <f>TRIM(CLEAN(PROPER(tblClean[[#This Row],[Category]])))</f>
        <v>Rent</v>
      </c>
      <c r="F758" s="10" t="s">
        <v>1530</v>
      </c>
      <c r="G758" s="1" t="s">
        <v>8</v>
      </c>
      <c r="H758" s="15">
        <f>MONTH(tblClean[[#This Row],[Date]])</f>
        <v>7</v>
      </c>
      <c r="I758" s="15">
        <f>YEAR(tblClean[[#This Row],[Date]])</f>
        <v>2022</v>
      </c>
    </row>
    <row r="759" spans="1:9" x14ac:dyDescent="0.25">
      <c r="A759" s="7">
        <v>44773</v>
      </c>
      <c r="B759" s="2" t="s">
        <v>1531</v>
      </c>
      <c r="C759" s="4" t="str">
        <f>TRIM(CLEAN(PROPER(tblClean[[#This Row],[Transaction Description]])))</f>
        <v>Church Own Stage.</v>
      </c>
      <c r="D759" s="2" t="s">
        <v>53</v>
      </c>
      <c r="E759" s="3" t="str">
        <f>TRIM(CLEAN(PROPER(tblClean[[#This Row],[Category]])))</f>
        <v>Travel</v>
      </c>
      <c r="F759" s="11" t="s">
        <v>1532</v>
      </c>
      <c r="G759" s="2" t="s">
        <v>8</v>
      </c>
      <c r="H759" s="15">
        <f>MONTH(tblClean[[#This Row],[Date]])</f>
        <v>7</v>
      </c>
      <c r="I759" s="15">
        <f>YEAR(tblClean[[#This Row],[Date]])</f>
        <v>2022</v>
      </c>
    </row>
    <row r="760" spans="1:9" x14ac:dyDescent="0.25">
      <c r="A760" s="6">
        <v>44775</v>
      </c>
      <c r="B760" s="1" t="s">
        <v>1533</v>
      </c>
      <c r="C760" s="3" t="str">
        <f>TRIM(CLEAN(PROPER(tblClean[[#This Row],[Transaction Description]])))</f>
        <v>Specific Result Loss Long.</v>
      </c>
      <c r="D760" s="1" t="s">
        <v>27</v>
      </c>
      <c r="E760" s="3" t="str">
        <f>TRIM(CLEAN(PROPER(tblClean[[#This Row],[Category]])))</f>
        <v>Other</v>
      </c>
      <c r="F760" s="10" t="s">
        <v>1534</v>
      </c>
      <c r="G760" s="1" t="s">
        <v>18</v>
      </c>
      <c r="H760" s="15">
        <f>MONTH(tblClean[[#This Row],[Date]])</f>
        <v>8</v>
      </c>
      <c r="I760" s="15">
        <f>YEAR(tblClean[[#This Row],[Date]])</f>
        <v>2022</v>
      </c>
    </row>
    <row r="761" spans="1:9" x14ac:dyDescent="0.25">
      <c r="A761" s="7">
        <v>44775</v>
      </c>
      <c r="B761" s="2" t="s">
        <v>1535</v>
      </c>
      <c r="C761" s="4" t="str">
        <f>TRIM(CLEAN(PROPER(tblClean[[#This Row],[Transaction Description]])))</f>
        <v>Claim Street Against Amount Of.</v>
      </c>
      <c r="D761" s="2" t="s">
        <v>38</v>
      </c>
      <c r="E761" s="3" t="str">
        <f>TRIM(CLEAN(PROPER(tblClean[[#This Row],[Category]])))</f>
        <v>Salary</v>
      </c>
      <c r="F761" s="11" t="s">
        <v>1536</v>
      </c>
      <c r="G761" s="2" t="s">
        <v>8</v>
      </c>
      <c r="H761" s="15">
        <f>MONTH(tblClean[[#This Row],[Date]])</f>
        <v>8</v>
      </c>
      <c r="I761" s="15">
        <f>YEAR(tblClean[[#This Row],[Date]])</f>
        <v>2022</v>
      </c>
    </row>
    <row r="762" spans="1:9" x14ac:dyDescent="0.25">
      <c r="A762" s="6">
        <v>44776</v>
      </c>
      <c r="B762" s="1" t="s">
        <v>1537</v>
      </c>
      <c r="C762" s="3" t="str">
        <f>TRIM(CLEAN(PROPER(tblClean[[#This Row],[Transaction Description]])))</f>
        <v>Picture Always Occur.</v>
      </c>
      <c r="D762" s="1" t="s">
        <v>16</v>
      </c>
      <c r="E762" s="3" t="str">
        <f>TRIM(CLEAN(PROPER(tblClean[[#This Row],[Category]])))</f>
        <v>Investment</v>
      </c>
      <c r="F762" s="10" t="s">
        <v>1538</v>
      </c>
      <c r="G762" s="1" t="s">
        <v>18</v>
      </c>
      <c r="H762" s="15">
        <f>MONTH(tblClean[[#This Row],[Date]])</f>
        <v>8</v>
      </c>
      <c r="I762" s="15">
        <f>YEAR(tblClean[[#This Row],[Date]])</f>
        <v>2022</v>
      </c>
    </row>
    <row r="763" spans="1:9" x14ac:dyDescent="0.25">
      <c r="A763" s="7">
        <v>44777</v>
      </c>
      <c r="B763" s="2" t="s">
        <v>1539</v>
      </c>
      <c r="C763" s="4" t="str">
        <f>TRIM(CLEAN(PROPER(tblClean[[#This Row],[Transaction Description]])))</f>
        <v>Election Conference When.</v>
      </c>
      <c r="D763" s="2" t="s">
        <v>22</v>
      </c>
      <c r="E763" s="3" t="str">
        <f>TRIM(CLEAN(PROPER(tblClean[[#This Row],[Category]])))</f>
        <v>Shopping</v>
      </c>
      <c r="F763" s="11" t="s">
        <v>1540</v>
      </c>
      <c r="G763" s="2" t="s">
        <v>8</v>
      </c>
      <c r="H763" s="15">
        <f>MONTH(tblClean[[#This Row],[Date]])</f>
        <v>8</v>
      </c>
      <c r="I763" s="15">
        <f>YEAR(tblClean[[#This Row],[Date]])</f>
        <v>2022</v>
      </c>
    </row>
    <row r="764" spans="1:9" x14ac:dyDescent="0.25">
      <c r="A764" s="6">
        <v>44779</v>
      </c>
      <c r="B764" s="1" t="s">
        <v>1541</v>
      </c>
      <c r="C764" s="3" t="str">
        <f>TRIM(CLEAN(PROPER(tblClean[[#This Row],[Transaction Description]])))</f>
        <v>These Road.</v>
      </c>
      <c r="D764" s="1" t="s">
        <v>35</v>
      </c>
      <c r="E764" s="3" t="str">
        <f>TRIM(CLEAN(PROPER(tblClean[[#This Row],[Category]])))</f>
        <v>Health &amp; Fitness</v>
      </c>
      <c r="F764" s="10" t="s">
        <v>1542</v>
      </c>
      <c r="G764" s="1" t="s">
        <v>8</v>
      </c>
      <c r="H764" s="15">
        <f>MONTH(tblClean[[#This Row],[Date]])</f>
        <v>8</v>
      </c>
      <c r="I764" s="15">
        <f>YEAR(tblClean[[#This Row],[Date]])</f>
        <v>2022</v>
      </c>
    </row>
    <row r="765" spans="1:9" x14ac:dyDescent="0.25">
      <c r="A765" s="7">
        <v>44780</v>
      </c>
      <c r="B765" s="2" t="s">
        <v>1543</v>
      </c>
      <c r="C765" s="4" t="str">
        <f>TRIM(CLEAN(PROPER(tblClean[[#This Row],[Transaction Description]])))</f>
        <v>Describe Paper.</v>
      </c>
      <c r="D765" s="2" t="s">
        <v>10</v>
      </c>
      <c r="E765" s="3" t="str">
        <f>TRIM(CLEAN(PROPER(tblClean[[#This Row],[Category]])))</f>
        <v>Utilities</v>
      </c>
      <c r="F765" s="11" t="s">
        <v>1544</v>
      </c>
      <c r="G765" s="2" t="s">
        <v>8</v>
      </c>
      <c r="H765" s="15">
        <f>MONTH(tblClean[[#This Row],[Date]])</f>
        <v>8</v>
      </c>
      <c r="I765" s="15">
        <f>YEAR(tblClean[[#This Row],[Date]])</f>
        <v>2022</v>
      </c>
    </row>
    <row r="766" spans="1:9" x14ac:dyDescent="0.25">
      <c r="A766" s="6">
        <v>44785</v>
      </c>
      <c r="B766" s="1" t="s">
        <v>1545</v>
      </c>
      <c r="C766" s="3" t="str">
        <f>TRIM(CLEAN(PROPER(tblClean[[#This Row],[Transaction Description]])))</f>
        <v>Color Store Over Some.</v>
      </c>
      <c r="D766" s="1" t="s">
        <v>30</v>
      </c>
      <c r="E766" s="3" t="str">
        <f>TRIM(CLEAN(PROPER(tblClean[[#This Row],[Category]])))</f>
        <v>Entertainment</v>
      </c>
      <c r="F766" s="10" t="s">
        <v>1546</v>
      </c>
      <c r="G766" s="1" t="s">
        <v>8</v>
      </c>
      <c r="H766" s="15">
        <f>MONTH(tblClean[[#This Row],[Date]])</f>
        <v>8</v>
      </c>
      <c r="I766" s="15">
        <f>YEAR(tblClean[[#This Row],[Date]])</f>
        <v>2022</v>
      </c>
    </row>
    <row r="767" spans="1:9" x14ac:dyDescent="0.25">
      <c r="A767" s="7">
        <v>44786</v>
      </c>
      <c r="B767" s="2" t="s">
        <v>1547</v>
      </c>
      <c r="C767" s="4" t="str">
        <f>TRIM(CLEAN(PROPER(tblClean[[#This Row],[Transaction Description]])))</f>
        <v>Process Enough Right Garden Law.</v>
      </c>
      <c r="D767" s="2" t="s">
        <v>27</v>
      </c>
      <c r="E767" s="3" t="str">
        <f>TRIM(CLEAN(PROPER(tblClean[[#This Row],[Category]])))</f>
        <v>Other</v>
      </c>
      <c r="F767" s="11" t="s">
        <v>1548</v>
      </c>
      <c r="G767" s="2" t="s">
        <v>18</v>
      </c>
      <c r="H767" s="15">
        <f>MONTH(tblClean[[#This Row],[Date]])</f>
        <v>8</v>
      </c>
      <c r="I767" s="15">
        <f>YEAR(tblClean[[#This Row],[Date]])</f>
        <v>2022</v>
      </c>
    </row>
    <row r="768" spans="1:9" x14ac:dyDescent="0.25">
      <c r="A768" s="7">
        <v>44788</v>
      </c>
      <c r="B768" s="2" t="s">
        <v>1551</v>
      </c>
      <c r="C768" s="4" t="str">
        <f>TRIM(CLEAN(PROPER(tblClean[[#This Row],[Transaction Description]])))</f>
        <v>Range Step Painting Concern.</v>
      </c>
      <c r="D768" s="2" t="s">
        <v>35</v>
      </c>
      <c r="E768" s="3" t="str">
        <f>TRIM(CLEAN(PROPER(tblClean[[#This Row],[Category]])))</f>
        <v>Health &amp; Fitness</v>
      </c>
      <c r="F768" s="11" t="s">
        <v>1552</v>
      </c>
      <c r="G768" s="2" t="s">
        <v>8</v>
      </c>
      <c r="H768" s="15">
        <f>MONTH(tblClean[[#This Row],[Date]])</f>
        <v>8</v>
      </c>
      <c r="I768" s="15">
        <f>YEAR(tblClean[[#This Row],[Date]])</f>
        <v>2022</v>
      </c>
    </row>
    <row r="769" spans="1:9" x14ac:dyDescent="0.25">
      <c r="A769" s="6">
        <v>44788</v>
      </c>
      <c r="B769" s="1" t="s">
        <v>1549</v>
      </c>
      <c r="C769" s="3" t="str">
        <f>TRIM(CLEAN(PROPER(tblClean[[#This Row],[Transaction Description]])))</f>
        <v>Her Car Admit.</v>
      </c>
      <c r="D769" s="1" t="s">
        <v>38</v>
      </c>
      <c r="E769" s="3" t="str">
        <f>TRIM(CLEAN(PROPER(tblClean[[#This Row],[Category]])))</f>
        <v>Salary</v>
      </c>
      <c r="F769" s="10" t="s">
        <v>1550</v>
      </c>
      <c r="G769" s="1" t="s">
        <v>8</v>
      </c>
      <c r="H769" s="15">
        <f>MONTH(tblClean[[#This Row],[Date]])</f>
        <v>8</v>
      </c>
      <c r="I769" s="15">
        <f>YEAR(tblClean[[#This Row],[Date]])</f>
        <v>2022</v>
      </c>
    </row>
    <row r="770" spans="1:9" x14ac:dyDescent="0.25">
      <c r="A770" s="7">
        <v>44789</v>
      </c>
      <c r="B770" s="2" t="s">
        <v>1555</v>
      </c>
      <c r="C770" s="4" t="str">
        <f>TRIM(CLEAN(PROPER(tblClean[[#This Row],[Transaction Description]])))</f>
        <v>Miss Have Analysis Morning.</v>
      </c>
      <c r="D770" s="2" t="s">
        <v>30</v>
      </c>
      <c r="E770" s="3" t="str">
        <f>TRIM(CLEAN(PROPER(tblClean[[#This Row],[Category]])))</f>
        <v>Entertainment</v>
      </c>
      <c r="F770" s="11" t="s">
        <v>1556</v>
      </c>
      <c r="G770" s="2" t="s">
        <v>8</v>
      </c>
      <c r="H770" s="15">
        <f>MONTH(tblClean[[#This Row],[Date]])</f>
        <v>8</v>
      </c>
      <c r="I770" s="15">
        <f>YEAR(tblClean[[#This Row],[Date]])</f>
        <v>2022</v>
      </c>
    </row>
    <row r="771" spans="1:9" x14ac:dyDescent="0.25">
      <c r="A771" s="6">
        <v>44789</v>
      </c>
      <c r="B771" s="1" t="s">
        <v>1553</v>
      </c>
      <c r="C771" s="3" t="str">
        <f>TRIM(CLEAN(PROPER(tblClean[[#This Row],[Transaction Description]])))</f>
        <v>Me Brother Lot Candidate Owner.</v>
      </c>
      <c r="D771" s="1" t="s">
        <v>22</v>
      </c>
      <c r="E771" s="3" t="str">
        <f>TRIM(CLEAN(PROPER(tblClean[[#This Row],[Category]])))</f>
        <v>Shopping</v>
      </c>
      <c r="F771" s="10" t="s">
        <v>1554</v>
      </c>
      <c r="G771" s="1" t="s">
        <v>8</v>
      </c>
      <c r="H771" s="15">
        <f>MONTH(tblClean[[#This Row],[Date]])</f>
        <v>8</v>
      </c>
      <c r="I771" s="15">
        <f>YEAR(tblClean[[#This Row],[Date]])</f>
        <v>2022</v>
      </c>
    </row>
    <row r="772" spans="1:9" x14ac:dyDescent="0.25">
      <c r="A772" s="6">
        <v>44790</v>
      </c>
      <c r="B772" s="1" t="s">
        <v>1557</v>
      </c>
      <c r="C772" s="3" t="str">
        <f>TRIM(CLEAN(PROPER(tblClean[[#This Row],[Transaction Description]])))</f>
        <v>Smile High Open Scientist.</v>
      </c>
      <c r="D772" s="1" t="s">
        <v>6</v>
      </c>
      <c r="E772" s="3" t="str">
        <f>TRIM(CLEAN(PROPER(tblClean[[#This Row],[Category]])))</f>
        <v>Food &amp; Drink</v>
      </c>
      <c r="F772" s="10" t="s">
        <v>1558</v>
      </c>
      <c r="G772" s="1" t="s">
        <v>8</v>
      </c>
      <c r="H772" s="15">
        <f>MONTH(tblClean[[#This Row],[Date]])</f>
        <v>8</v>
      </c>
      <c r="I772" s="15">
        <f>YEAR(tblClean[[#This Row],[Date]])</f>
        <v>2022</v>
      </c>
    </row>
    <row r="773" spans="1:9" x14ac:dyDescent="0.25">
      <c r="A773" s="7">
        <v>44791</v>
      </c>
      <c r="B773" s="2" t="s">
        <v>1559</v>
      </c>
      <c r="C773" s="4" t="str">
        <f>TRIM(CLEAN(PROPER(tblClean[[#This Row],[Transaction Description]])))</f>
        <v>International Effort.</v>
      </c>
      <c r="D773" s="2" t="s">
        <v>30</v>
      </c>
      <c r="E773" s="3" t="str">
        <f>TRIM(CLEAN(PROPER(tblClean[[#This Row],[Category]])))</f>
        <v>Entertainment</v>
      </c>
      <c r="F773" s="11" t="s">
        <v>1560</v>
      </c>
      <c r="G773" s="2" t="s">
        <v>8</v>
      </c>
      <c r="H773" s="15">
        <f>MONTH(tblClean[[#This Row],[Date]])</f>
        <v>8</v>
      </c>
      <c r="I773" s="15">
        <f>YEAR(tblClean[[#This Row],[Date]])</f>
        <v>2022</v>
      </c>
    </row>
    <row r="774" spans="1:9" x14ac:dyDescent="0.25">
      <c r="A774" s="6">
        <v>44792</v>
      </c>
      <c r="B774" s="1" t="s">
        <v>1561</v>
      </c>
      <c r="C774" s="3" t="str">
        <f>TRIM(CLEAN(PROPER(tblClean[[#This Row],[Transaction Description]])))</f>
        <v>Exist Theory.</v>
      </c>
      <c r="D774" s="1" t="s">
        <v>13</v>
      </c>
      <c r="E774" s="3" t="str">
        <f>TRIM(CLEAN(PROPER(tblClean[[#This Row],[Category]])))</f>
        <v>Rent</v>
      </c>
      <c r="F774" s="10" t="s">
        <v>1562</v>
      </c>
      <c r="G774" s="1" t="s">
        <v>8</v>
      </c>
      <c r="H774" s="15">
        <f>MONTH(tblClean[[#This Row],[Date]])</f>
        <v>8</v>
      </c>
      <c r="I774" s="15">
        <f>YEAR(tblClean[[#This Row],[Date]])</f>
        <v>2022</v>
      </c>
    </row>
    <row r="775" spans="1:9" x14ac:dyDescent="0.25">
      <c r="A775" s="6">
        <v>44794</v>
      </c>
      <c r="B775" s="1" t="s">
        <v>1565</v>
      </c>
      <c r="C775" s="3" t="str">
        <f>TRIM(CLEAN(PROPER(tblClean[[#This Row],[Transaction Description]])))</f>
        <v>Brother According Pressure Reach Firm.</v>
      </c>
      <c r="D775" s="1" t="s">
        <v>27</v>
      </c>
      <c r="E775" s="3" t="str">
        <f>TRIM(CLEAN(PROPER(tblClean[[#This Row],[Category]])))</f>
        <v>Other</v>
      </c>
      <c r="F775" s="10" t="s">
        <v>1566</v>
      </c>
      <c r="G775" s="1" t="s">
        <v>18</v>
      </c>
      <c r="H775" s="15">
        <f>MONTH(tblClean[[#This Row],[Date]])</f>
        <v>8</v>
      </c>
      <c r="I775" s="15">
        <f>YEAR(tblClean[[#This Row],[Date]])</f>
        <v>2022</v>
      </c>
    </row>
    <row r="776" spans="1:9" x14ac:dyDescent="0.25">
      <c r="A776" s="7">
        <v>44794</v>
      </c>
      <c r="B776" s="2" t="s">
        <v>1563</v>
      </c>
      <c r="C776" s="4" t="str">
        <f>TRIM(CLEAN(PROPER(tblClean[[#This Row],[Transaction Description]])))</f>
        <v>Country Remember Smile.</v>
      </c>
      <c r="D776" s="2" t="s">
        <v>22</v>
      </c>
      <c r="E776" s="3" t="str">
        <f>TRIM(CLEAN(PROPER(tblClean[[#This Row],[Category]])))</f>
        <v>Shopping</v>
      </c>
      <c r="F776" s="11" t="s">
        <v>1564</v>
      </c>
      <c r="G776" s="2" t="s">
        <v>8</v>
      </c>
      <c r="H776" s="15">
        <f>MONTH(tblClean[[#This Row],[Date]])</f>
        <v>8</v>
      </c>
      <c r="I776" s="15">
        <f>YEAR(tblClean[[#This Row],[Date]])</f>
        <v>2022</v>
      </c>
    </row>
    <row r="777" spans="1:9" x14ac:dyDescent="0.25">
      <c r="A777" s="6">
        <v>44795</v>
      </c>
      <c r="B777" s="1" t="s">
        <v>1569</v>
      </c>
      <c r="C777" s="3" t="str">
        <f>TRIM(CLEAN(PROPER(tblClean[[#This Row],[Transaction Description]])))</f>
        <v>Talk Interest Hand.</v>
      </c>
      <c r="D777" s="1" t="s">
        <v>13</v>
      </c>
      <c r="E777" s="3" t="str">
        <f>TRIM(CLEAN(PROPER(tblClean[[#This Row],[Category]])))</f>
        <v>Rent</v>
      </c>
      <c r="F777" s="10" t="s">
        <v>1570</v>
      </c>
      <c r="G777" s="1" t="s">
        <v>8</v>
      </c>
      <c r="H777" s="15">
        <f>MONTH(tblClean[[#This Row],[Date]])</f>
        <v>8</v>
      </c>
      <c r="I777" s="15">
        <f>YEAR(tblClean[[#This Row],[Date]])</f>
        <v>2022</v>
      </c>
    </row>
    <row r="778" spans="1:9" x14ac:dyDescent="0.25">
      <c r="A778" s="7">
        <v>44795</v>
      </c>
      <c r="B778" s="2" t="s">
        <v>1567</v>
      </c>
      <c r="C778" s="4" t="str">
        <f>TRIM(CLEAN(PROPER(tblClean[[#This Row],[Transaction Description]])))</f>
        <v>Choice Prepare.</v>
      </c>
      <c r="D778" s="2" t="s">
        <v>10</v>
      </c>
      <c r="E778" s="3" t="str">
        <f>TRIM(CLEAN(PROPER(tblClean[[#This Row],[Category]])))</f>
        <v>Utilities</v>
      </c>
      <c r="F778" s="11" t="s">
        <v>1568</v>
      </c>
      <c r="G778" s="2" t="s">
        <v>8</v>
      </c>
      <c r="H778" s="15">
        <f>MONTH(tblClean[[#This Row],[Date]])</f>
        <v>8</v>
      </c>
      <c r="I778" s="15">
        <f>YEAR(tblClean[[#This Row],[Date]])</f>
        <v>2022</v>
      </c>
    </row>
    <row r="779" spans="1:9" x14ac:dyDescent="0.25">
      <c r="A779" s="7">
        <v>44796</v>
      </c>
      <c r="B779" s="2" t="s">
        <v>1571</v>
      </c>
      <c r="C779" s="4" t="str">
        <f>TRIM(CLEAN(PROPER(tblClean[[#This Row],[Transaction Description]])))</f>
        <v>Sense Including Six Lot.</v>
      </c>
      <c r="D779" s="2" t="s">
        <v>22</v>
      </c>
      <c r="E779" s="3" t="str">
        <f>TRIM(CLEAN(PROPER(tblClean[[#This Row],[Category]])))</f>
        <v>Shopping</v>
      </c>
      <c r="F779" s="11" t="s">
        <v>1572</v>
      </c>
      <c r="G779" s="2" t="s">
        <v>8</v>
      </c>
      <c r="H779" s="15">
        <f>MONTH(tblClean[[#This Row],[Date]])</f>
        <v>8</v>
      </c>
      <c r="I779" s="15">
        <f>YEAR(tblClean[[#This Row],[Date]])</f>
        <v>2022</v>
      </c>
    </row>
    <row r="780" spans="1:9" x14ac:dyDescent="0.25">
      <c r="A780" s="6">
        <v>44797</v>
      </c>
      <c r="B780" s="1" t="s">
        <v>1573</v>
      </c>
      <c r="C780" s="3" t="str">
        <f>TRIM(CLEAN(PROPER(tblClean[[#This Row],[Transaction Description]])))</f>
        <v>Never Effect Fill General Relationship.</v>
      </c>
      <c r="D780" s="1" t="s">
        <v>22</v>
      </c>
      <c r="E780" s="3" t="str">
        <f>TRIM(CLEAN(PROPER(tblClean[[#This Row],[Category]])))</f>
        <v>Shopping</v>
      </c>
      <c r="F780" s="10" t="s">
        <v>1574</v>
      </c>
      <c r="G780" s="1" t="s">
        <v>8</v>
      </c>
      <c r="H780" s="15">
        <f>MONTH(tblClean[[#This Row],[Date]])</f>
        <v>8</v>
      </c>
      <c r="I780" s="15">
        <f>YEAR(tblClean[[#This Row],[Date]])</f>
        <v>2022</v>
      </c>
    </row>
    <row r="781" spans="1:9" x14ac:dyDescent="0.25">
      <c r="A781" s="7">
        <v>44799</v>
      </c>
      <c r="B781" s="2" t="s">
        <v>1575</v>
      </c>
      <c r="C781" s="4" t="str">
        <f>TRIM(CLEAN(PROPER(tblClean[[#This Row],[Transaction Description]])))</f>
        <v>Security Land Record.</v>
      </c>
      <c r="D781" s="2" t="s">
        <v>35</v>
      </c>
      <c r="E781" s="3" t="str">
        <f>TRIM(CLEAN(PROPER(tblClean[[#This Row],[Category]])))</f>
        <v>Health &amp; Fitness</v>
      </c>
      <c r="F781" s="11" t="s">
        <v>1576</v>
      </c>
      <c r="G781" s="2" t="s">
        <v>8</v>
      </c>
      <c r="H781" s="15">
        <f>MONTH(tblClean[[#This Row],[Date]])</f>
        <v>8</v>
      </c>
      <c r="I781" s="15">
        <f>YEAR(tblClean[[#This Row],[Date]])</f>
        <v>2022</v>
      </c>
    </row>
    <row r="782" spans="1:9" x14ac:dyDescent="0.25">
      <c r="A782" s="6">
        <v>44799</v>
      </c>
      <c r="B782" s="1" t="s">
        <v>1577</v>
      </c>
      <c r="C782" s="3" t="str">
        <f>TRIM(CLEAN(PROPER(tblClean[[#This Row],[Transaction Description]])))</f>
        <v>Democrat Hundred.</v>
      </c>
      <c r="D782" s="1" t="s">
        <v>13</v>
      </c>
      <c r="E782" s="3" t="str">
        <f>TRIM(CLEAN(PROPER(tblClean[[#This Row],[Category]])))</f>
        <v>Rent</v>
      </c>
      <c r="F782" s="10" t="s">
        <v>1578</v>
      </c>
      <c r="G782" s="1" t="s">
        <v>8</v>
      </c>
      <c r="H782" s="15">
        <f>MONTH(tblClean[[#This Row],[Date]])</f>
        <v>8</v>
      </c>
      <c r="I782" s="15">
        <f>YEAR(tblClean[[#This Row],[Date]])</f>
        <v>2022</v>
      </c>
    </row>
    <row r="783" spans="1:9" x14ac:dyDescent="0.25">
      <c r="A783" s="7">
        <v>44801</v>
      </c>
      <c r="B783" s="2" t="s">
        <v>1579</v>
      </c>
      <c r="C783" s="4" t="str">
        <f>TRIM(CLEAN(PROPER(tblClean[[#This Row],[Transaction Description]])))</f>
        <v>Pass Range Appear Home Player.</v>
      </c>
      <c r="D783" s="2" t="s">
        <v>35</v>
      </c>
      <c r="E783" s="3" t="str">
        <f>TRIM(CLEAN(PROPER(tblClean[[#This Row],[Category]])))</f>
        <v>Health &amp; Fitness</v>
      </c>
      <c r="F783" s="11" t="s">
        <v>1580</v>
      </c>
      <c r="G783" s="2" t="s">
        <v>8</v>
      </c>
      <c r="H783" s="15">
        <f>MONTH(tblClean[[#This Row],[Date]])</f>
        <v>8</v>
      </c>
      <c r="I783" s="15">
        <f>YEAR(tblClean[[#This Row],[Date]])</f>
        <v>2022</v>
      </c>
    </row>
    <row r="784" spans="1:9" x14ac:dyDescent="0.25">
      <c r="A784" s="6">
        <v>44802</v>
      </c>
      <c r="B784" s="1" t="s">
        <v>1581</v>
      </c>
      <c r="C784" s="3" t="str">
        <f>TRIM(CLEAN(PROPER(tblClean[[#This Row],[Transaction Description]])))</f>
        <v>Likely Outside Because.</v>
      </c>
      <c r="D784" s="1" t="s">
        <v>22</v>
      </c>
      <c r="E784" s="3" t="str">
        <f>TRIM(CLEAN(PROPER(tblClean[[#This Row],[Category]])))</f>
        <v>Shopping</v>
      </c>
      <c r="F784" s="10" t="s">
        <v>1582</v>
      </c>
      <c r="G784" s="1" t="s">
        <v>8</v>
      </c>
      <c r="H784" s="15">
        <f>MONTH(tblClean[[#This Row],[Date]])</f>
        <v>8</v>
      </c>
      <c r="I784" s="15">
        <f>YEAR(tblClean[[#This Row],[Date]])</f>
        <v>2022</v>
      </c>
    </row>
    <row r="785" spans="1:9" x14ac:dyDescent="0.25">
      <c r="A785" s="7">
        <v>44803</v>
      </c>
      <c r="B785" s="2" t="s">
        <v>1583</v>
      </c>
      <c r="C785" s="4" t="str">
        <f>TRIM(CLEAN(PROPER(tblClean[[#This Row],[Transaction Description]])))</f>
        <v>He Participant Right.</v>
      </c>
      <c r="D785" s="2" t="s">
        <v>22</v>
      </c>
      <c r="E785" s="3" t="str">
        <f>TRIM(CLEAN(PROPER(tblClean[[#This Row],[Category]])))</f>
        <v>Shopping</v>
      </c>
      <c r="F785" s="11" t="s">
        <v>1584</v>
      </c>
      <c r="G785" s="2" t="s">
        <v>8</v>
      </c>
      <c r="H785" s="15">
        <f>MONTH(tblClean[[#This Row],[Date]])</f>
        <v>8</v>
      </c>
      <c r="I785" s="15">
        <f>YEAR(tblClean[[#This Row],[Date]])</f>
        <v>2022</v>
      </c>
    </row>
    <row r="786" spans="1:9" x14ac:dyDescent="0.25">
      <c r="A786" s="7">
        <v>44804</v>
      </c>
      <c r="B786" s="2" t="s">
        <v>1587</v>
      </c>
      <c r="C786" s="4" t="str">
        <f>TRIM(CLEAN(PROPER(tblClean[[#This Row],[Transaction Description]])))</f>
        <v>Keep Cut Prevent Sound.</v>
      </c>
      <c r="D786" s="2" t="s">
        <v>30</v>
      </c>
      <c r="E786" s="3" t="str">
        <f>TRIM(CLEAN(PROPER(tblClean[[#This Row],[Category]])))</f>
        <v>Entertainment</v>
      </c>
      <c r="F786" s="11" t="s">
        <v>1588</v>
      </c>
      <c r="G786" s="2" t="s">
        <v>8</v>
      </c>
      <c r="H786" s="15">
        <f>MONTH(tblClean[[#This Row],[Date]])</f>
        <v>8</v>
      </c>
      <c r="I786" s="15">
        <f>YEAR(tblClean[[#This Row],[Date]])</f>
        <v>2022</v>
      </c>
    </row>
    <row r="787" spans="1:9" x14ac:dyDescent="0.25">
      <c r="A787" s="6">
        <v>44804</v>
      </c>
      <c r="B787" s="1" t="s">
        <v>1585</v>
      </c>
      <c r="C787" s="3" t="str">
        <f>TRIM(CLEAN(PROPER(tblClean[[#This Row],[Transaction Description]])))</f>
        <v>Prevent Expert White Arm Similar.</v>
      </c>
      <c r="D787" s="1" t="s">
        <v>16</v>
      </c>
      <c r="E787" s="3" t="str">
        <f>TRIM(CLEAN(PROPER(tblClean[[#This Row],[Category]])))</f>
        <v>Investment</v>
      </c>
      <c r="F787" s="10" t="s">
        <v>1586</v>
      </c>
      <c r="G787" s="1" t="s">
        <v>18</v>
      </c>
      <c r="H787" s="15">
        <f>MONTH(tblClean[[#This Row],[Date]])</f>
        <v>8</v>
      </c>
      <c r="I787" s="15">
        <f>YEAR(tblClean[[#This Row],[Date]])</f>
        <v>2022</v>
      </c>
    </row>
    <row r="788" spans="1:9" x14ac:dyDescent="0.25">
      <c r="A788" s="6">
        <v>44805</v>
      </c>
      <c r="B788" s="1" t="s">
        <v>1589</v>
      </c>
      <c r="C788" s="3" t="str">
        <f>TRIM(CLEAN(PROPER(tblClean[[#This Row],[Transaction Description]])))</f>
        <v>Almost Outside Middle.</v>
      </c>
      <c r="D788" s="1" t="s">
        <v>10</v>
      </c>
      <c r="E788" s="3" t="str">
        <f>TRIM(CLEAN(PROPER(tblClean[[#This Row],[Category]])))</f>
        <v>Utilities</v>
      </c>
      <c r="F788" s="10" t="s">
        <v>1590</v>
      </c>
      <c r="G788" s="1" t="s">
        <v>8</v>
      </c>
      <c r="H788" s="15">
        <f>MONTH(tblClean[[#This Row],[Date]])</f>
        <v>9</v>
      </c>
      <c r="I788" s="15">
        <f>YEAR(tblClean[[#This Row],[Date]])</f>
        <v>2022</v>
      </c>
    </row>
    <row r="789" spans="1:9" x14ac:dyDescent="0.25">
      <c r="A789" s="7">
        <v>44806</v>
      </c>
      <c r="B789" s="2" t="s">
        <v>1591</v>
      </c>
      <c r="C789" s="4" t="str">
        <f>TRIM(CLEAN(PROPER(tblClean[[#This Row],[Transaction Description]])))</f>
        <v>College Already Dream A Church.</v>
      </c>
      <c r="D789" s="2" t="s">
        <v>16</v>
      </c>
      <c r="E789" s="3" t="str">
        <f>TRIM(CLEAN(PROPER(tblClean[[#This Row],[Category]])))</f>
        <v>Investment</v>
      </c>
      <c r="F789" s="11" t="s">
        <v>1592</v>
      </c>
      <c r="G789" s="2" t="s">
        <v>18</v>
      </c>
      <c r="H789" s="15">
        <f>MONTH(tblClean[[#This Row],[Date]])</f>
        <v>9</v>
      </c>
      <c r="I789" s="15">
        <f>YEAR(tblClean[[#This Row],[Date]])</f>
        <v>2022</v>
      </c>
    </row>
    <row r="790" spans="1:9" x14ac:dyDescent="0.25">
      <c r="A790" s="6">
        <v>44807</v>
      </c>
      <c r="B790" s="1" t="s">
        <v>1597</v>
      </c>
      <c r="C790" s="3" t="str">
        <f>TRIM(CLEAN(PROPER(tblClean[[#This Row],[Transaction Description]])))</f>
        <v>Give White Everybody Paper Create.</v>
      </c>
      <c r="D790" s="1" t="s">
        <v>30</v>
      </c>
      <c r="E790" s="3" t="str">
        <f>TRIM(CLEAN(PROPER(tblClean[[#This Row],[Category]])))</f>
        <v>Entertainment</v>
      </c>
      <c r="F790" s="10" t="s">
        <v>1598</v>
      </c>
      <c r="G790" s="1" t="s">
        <v>8</v>
      </c>
      <c r="H790" s="15">
        <f>MONTH(tblClean[[#This Row],[Date]])</f>
        <v>9</v>
      </c>
      <c r="I790" s="15">
        <f>YEAR(tblClean[[#This Row],[Date]])</f>
        <v>2022</v>
      </c>
    </row>
    <row r="791" spans="1:9" x14ac:dyDescent="0.25">
      <c r="A791" s="6">
        <v>44807</v>
      </c>
      <c r="B791" s="1" t="s">
        <v>1593</v>
      </c>
      <c r="C791" s="3" t="str">
        <f>TRIM(CLEAN(PROPER(tblClean[[#This Row],[Transaction Description]])))</f>
        <v>Good House Only Military.</v>
      </c>
      <c r="D791" s="1" t="s">
        <v>13</v>
      </c>
      <c r="E791" s="3" t="str">
        <f>TRIM(CLEAN(PROPER(tblClean[[#This Row],[Category]])))</f>
        <v>Rent</v>
      </c>
      <c r="F791" s="10" t="s">
        <v>1594</v>
      </c>
      <c r="G791" s="1" t="s">
        <v>8</v>
      </c>
      <c r="H791" s="15">
        <f>MONTH(tblClean[[#This Row],[Date]])</f>
        <v>9</v>
      </c>
      <c r="I791" s="15">
        <f>YEAR(tblClean[[#This Row],[Date]])</f>
        <v>2022</v>
      </c>
    </row>
    <row r="792" spans="1:9" x14ac:dyDescent="0.25">
      <c r="A792" s="7">
        <v>44807</v>
      </c>
      <c r="B792" s="2" t="s">
        <v>1595</v>
      </c>
      <c r="C792" s="4" t="str">
        <f>TRIM(CLEAN(PROPER(tblClean[[#This Row],[Transaction Description]])))</f>
        <v>Near Risk.</v>
      </c>
      <c r="D792" s="2" t="s">
        <v>10</v>
      </c>
      <c r="E792" s="3" t="str">
        <f>TRIM(CLEAN(PROPER(tblClean[[#This Row],[Category]])))</f>
        <v>Utilities</v>
      </c>
      <c r="F792" s="11" t="s">
        <v>1596</v>
      </c>
      <c r="G792" s="2" t="s">
        <v>8</v>
      </c>
      <c r="H792" s="15">
        <f>MONTH(tblClean[[#This Row],[Date]])</f>
        <v>9</v>
      </c>
      <c r="I792" s="15">
        <f>YEAR(tblClean[[#This Row],[Date]])</f>
        <v>2022</v>
      </c>
    </row>
    <row r="793" spans="1:9" x14ac:dyDescent="0.25">
      <c r="A793" s="6">
        <v>44808</v>
      </c>
      <c r="B793" s="1" t="s">
        <v>1601</v>
      </c>
      <c r="C793" s="3" t="str">
        <f>TRIM(CLEAN(PROPER(tblClean[[#This Row],[Transaction Description]])))</f>
        <v>Sort What.</v>
      </c>
      <c r="D793" s="1" t="s">
        <v>35</v>
      </c>
      <c r="E793" s="3" t="str">
        <f>TRIM(CLEAN(PROPER(tblClean[[#This Row],[Category]])))</f>
        <v>Health &amp; Fitness</v>
      </c>
      <c r="F793" s="10" t="s">
        <v>1602</v>
      </c>
      <c r="G793" s="1" t="s">
        <v>8</v>
      </c>
      <c r="H793" s="15">
        <f>MONTH(tblClean[[#This Row],[Date]])</f>
        <v>9</v>
      </c>
      <c r="I793" s="15">
        <f>YEAR(tblClean[[#This Row],[Date]])</f>
        <v>2022</v>
      </c>
    </row>
    <row r="794" spans="1:9" x14ac:dyDescent="0.25">
      <c r="A794" s="7">
        <v>44808</v>
      </c>
      <c r="B794" s="2" t="s">
        <v>1599</v>
      </c>
      <c r="C794" s="4" t="str">
        <f>TRIM(CLEAN(PROPER(tblClean[[#This Row],[Transaction Description]])))</f>
        <v>Above Company Media Next Me.</v>
      </c>
      <c r="D794" s="2" t="s">
        <v>13</v>
      </c>
      <c r="E794" s="3" t="str">
        <f>TRIM(CLEAN(PROPER(tblClean[[#This Row],[Category]])))</f>
        <v>Rent</v>
      </c>
      <c r="F794" s="11" t="s">
        <v>1600</v>
      </c>
      <c r="G794" s="2" t="s">
        <v>8</v>
      </c>
      <c r="H794" s="15">
        <f>MONTH(tblClean[[#This Row],[Date]])</f>
        <v>9</v>
      </c>
      <c r="I794" s="15">
        <f>YEAR(tblClean[[#This Row],[Date]])</f>
        <v>2022</v>
      </c>
    </row>
    <row r="795" spans="1:9" x14ac:dyDescent="0.25">
      <c r="A795" s="7">
        <v>44809</v>
      </c>
      <c r="B795" s="2" t="s">
        <v>1603</v>
      </c>
      <c r="C795" s="4" t="str">
        <f>TRIM(CLEAN(PROPER(tblClean[[#This Row],[Transaction Description]])))</f>
        <v>Economic Kind Help Low During.</v>
      </c>
      <c r="D795" s="2" t="s">
        <v>16</v>
      </c>
      <c r="E795" s="3" t="str">
        <f>TRIM(CLEAN(PROPER(tblClean[[#This Row],[Category]])))</f>
        <v>Investment</v>
      </c>
      <c r="F795" s="11" t="s">
        <v>1604</v>
      </c>
      <c r="G795" s="2" t="s">
        <v>18</v>
      </c>
      <c r="H795" s="15">
        <f>MONTH(tblClean[[#This Row],[Date]])</f>
        <v>9</v>
      </c>
      <c r="I795" s="15">
        <f>YEAR(tblClean[[#This Row],[Date]])</f>
        <v>2022</v>
      </c>
    </row>
    <row r="796" spans="1:9" x14ac:dyDescent="0.25">
      <c r="A796" s="6">
        <v>44810</v>
      </c>
      <c r="B796" s="1" t="s">
        <v>1605</v>
      </c>
      <c r="C796" s="3" t="str">
        <f>TRIM(CLEAN(PROPER(tblClean[[#This Row],[Transaction Description]])))</f>
        <v>Race To Television Loss.</v>
      </c>
      <c r="D796" s="1" t="s">
        <v>13</v>
      </c>
      <c r="E796" s="3" t="str">
        <f>TRIM(CLEAN(PROPER(tblClean[[#This Row],[Category]])))</f>
        <v>Rent</v>
      </c>
      <c r="F796" s="10" t="s">
        <v>1606</v>
      </c>
      <c r="G796" s="1" t="s">
        <v>8</v>
      </c>
      <c r="H796" s="15">
        <f>MONTH(tblClean[[#This Row],[Date]])</f>
        <v>9</v>
      </c>
      <c r="I796" s="15">
        <f>YEAR(tblClean[[#This Row],[Date]])</f>
        <v>2022</v>
      </c>
    </row>
    <row r="797" spans="1:9" x14ac:dyDescent="0.25">
      <c r="A797" s="7">
        <v>44811</v>
      </c>
      <c r="B797" s="2" t="s">
        <v>1607</v>
      </c>
      <c r="C797" s="4" t="str">
        <f>TRIM(CLEAN(PROPER(tblClean[[#This Row],[Transaction Description]])))</f>
        <v>Him Small.</v>
      </c>
      <c r="D797" s="2" t="s">
        <v>16</v>
      </c>
      <c r="E797" s="3" t="str">
        <f>TRIM(CLEAN(PROPER(tblClean[[#This Row],[Category]])))</f>
        <v>Investment</v>
      </c>
      <c r="F797" s="11" t="s">
        <v>1608</v>
      </c>
      <c r="G797" s="2" t="s">
        <v>18</v>
      </c>
      <c r="H797" s="15">
        <f>MONTH(tblClean[[#This Row],[Date]])</f>
        <v>9</v>
      </c>
      <c r="I797" s="15">
        <f>YEAR(tblClean[[#This Row],[Date]])</f>
        <v>2022</v>
      </c>
    </row>
    <row r="798" spans="1:9" x14ac:dyDescent="0.25">
      <c r="A798" s="6">
        <v>44812</v>
      </c>
      <c r="B798" s="1" t="s">
        <v>1609</v>
      </c>
      <c r="C798" s="3" t="str">
        <f>TRIM(CLEAN(PROPER(tblClean[[#This Row],[Transaction Description]])))</f>
        <v>Son Include Good.</v>
      </c>
      <c r="D798" s="1" t="s">
        <v>16</v>
      </c>
      <c r="E798" s="3" t="str">
        <f>TRIM(CLEAN(PROPER(tblClean[[#This Row],[Category]])))</f>
        <v>Investment</v>
      </c>
      <c r="F798" s="10" t="s">
        <v>1610</v>
      </c>
      <c r="G798" s="1" t="s">
        <v>18</v>
      </c>
      <c r="H798" s="15">
        <f>MONTH(tblClean[[#This Row],[Date]])</f>
        <v>9</v>
      </c>
      <c r="I798" s="15">
        <f>YEAR(tblClean[[#This Row],[Date]])</f>
        <v>2022</v>
      </c>
    </row>
    <row r="799" spans="1:9" x14ac:dyDescent="0.25">
      <c r="A799" s="7">
        <v>44814</v>
      </c>
      <c r="B799" s="2" t="s">
        <v>1611</v>
      </c>
      <c r="C799" s="4" t="str">
        <f>TRIM(CLEAN(PROPER(tblClean[[#This Row],[Transaction Description]])))</f>
        <v>Red Enjoy.</v>
      </c>
      <c r="D799" s="2" t="s">
        <v>38</v>
      </c>
      <c r="E799" s="3" t="str">
        <f>TRIM(CLEAN(PROPER(tblClean[[#This Row],[Category]])))</f>
        <v>Salary</v>
      </c>
      <c r="F799" s="11" t="s">
        <v>1612</v>
      </c>
      <c r="G799" s="2" t="s">
        <v>8</v>
      </c>
      <c r="H799" s="15">
        <f>MONTH(tblClean[[#This Row],[Date]])</f>
        <v>9</v>
      </c>
      <c r="I799" s="15">
        <f>YEAR(tblClean[[#This Row],[Date]])</f>
        <v>2022</v>
      </c>
    </row>
    <row r="800" spans="1:9" x14ac:dyDescent="0.25">
      <c r="A800" s="7">
        <v>44815</v>
      </c>
      <c r="B800" s="2" t="s">
        <v>1615</v>
      </c>
      <c r="C800" s="4" t="str">
        <f>TRIM(CLEAN(PROPER(tblClean[[#This Row],[Transaction Description]])))</f>
        <v>Never Condition.</v>
      </c>
      <c r="D800" s="2" t="s">
        <v>22</v>
      </c>
      <c r="E800" s="3" t="str">
        <f>TRIM(CLEAN(PROPER(tblClean[[#This Row],[Category]])))</f>
        <v>Shopping</v>
      </c>
      <c r="F800" s="11" t="s">
        <v>1616</v>
      </c>
      <c r="G800" s="2" t="s">
        <v>8</v>
      </c>
      <c r="H800" s="15">
        <f>MONTH(tblClean[[#This Row],[Date]])</f>
        <v>9</v>
      </c>
      <c r="I800" s="15">
        <f>YEAR(tblClean[[#This Row],[Date]])</f>
        <v>2022</v>
      </c>
    </row>
    <row r="801" spans="1:9" x14ac:dyDescent="0.25">
      <c r="A801" s="6">
        <v>44815</v>
      </c>
      <c r="B801" s="1" t="s">
        <v>1613</v>
      </c>
      <c r="C801" s="3" t="str">
        <f>TRIM(CLEAN(PROPER(tblClean[[#This Row],[Transaction Description]])))</f>
        <v>Human See.</v>
      </c>
      <c r="D801" s="1" t="s">
        <v>10</v>
      </c>
      <c r="E801" s="3" t="str">
        <f>TRIM(CLEAN(PROPER(tblClean[[#This Row],[Category]])))</f>
        <v>Utilities</v>
      </c>
      <c r="F801" s="10" t="s">
        <v>1614</v>
      </c>
      <c r="G801" s="1" t="s">
        <v>8</v>
      </c>
      <c r="H801" s="15">
        <f>MONTH(tblClean[[#This Row],[Date]])</f>
        <v>9</v>
      </c>
      <c r="I801" s="15">
        <f>YEAR(tblClean[[#This Row],[Date]])</f>
        <v>2022</v>
      </c>
    </row>
    <row r="802" spans="1:9" x14ac:dyDescent="0.25">
      <c r="A802" s="6">
        <v>44816</v>
      </c>
      <c r="B802" s="1" t="s">
        <v>1617</v>
      </c>
      <c r="C802" s="3" t="str">
        <f>TRIM(CLEAN(PROPER(tblClean[[#This Row],[Transaction Description]])))</f>
        <v>Despite Off Consumer Second.</v>
      </c>
      <c r="D802" s="1" t="s">
        <v>30</v>
      </c>
      <c r="E802" s="3" t="str">
        <f>TRIM(CLEAN(PROPER(tblClean[[#This Row],[Category]])))</f>
        <v>Entertainment</v>
      </c>
      <c r="F802" s="10" t="s">
        <v>1618</v>
      </c>
      <c r="G802" s="1" t="s">
        <v>8</v>
      </c>
      <c r="H802" s="15">
        <f>MONTH(tblClean[[#This Row],[Date]])</f>
        <v>9</v>
      </c>
      <c r="I802" s="15">
        <f>YEAR(tblClean[[#This Row],[Date]])</f>
        <v>2022</v>
      </c>
    </row>
    <row r="803" spans="1:9" x14ac:dyDescent="0.25">
      <c r="A803" s="7">
        <v>44818</v>
      </c>
      <c r="B803" s="2" t="s">
        <v>1619</v>
      </c>
      <c r="C803" s="4" t="str">
        <f>TRIM(CLEAN(PROPER(tblClean[[#This Row],[Transaction Description]])))</f>
        <v>Say Dog Drug Enter.</v>
      </c>
      <c r="D803" s="2" t="s">
        <v>6</v>
      </c>
      <c r="E803" s="3" t="str">
        <f>TRIM(CLEAN(PROPER(tblClean[[#This Row],[Category]])))</f>
        <v>Food &amp; Drink</v>
      </c>
      <c r="F803" s="11" t="s">
        <v>1620</v>
      </c>
      <c r="G803" s="2" t="s">
        <v>8</v>
      </c>
      <c r="H803" s="15">
        <f>MONTH(tblClean[[#This Row],[Date]])</f>
        <v>9</v>
      </c>
      <c r="I803" s="15">
        <f>YEAR(tblClean[[#This Row],[Date]])</f>
        <v>2022</v>
      </c>
    </row>
    <row r="804" spans="1:9" x14ac:dyDescent="0.25">
      <c r="A804" s="6">
        <v>44819</v>
      </c>
      <c r="B804" s="1" t="s">
        <v>1621</v>
      </c>
      <c r="C804" s="3" t="str">
        <f>TRIM(CLEAN(PROPER(tblClean[[#This Row],[Transaction Description]])))</f>
        <v>Strong Student Green.</v>
      </c>
      <c r="D804" s="1" t="s">
        <v>13</v>
      </c>
      <c r="E804" s="3" t="str">
        <f>TRIM(CLEAN(PROPER(tblClean[[#This Row],[Category]])))</f>
        <v>Rent</v>
      </c>
      <c r="F804" s="10" t="s">
        <v>1622</v>
      </c>
      <c r="G804" s="1" t="s">
        <v>8</v>
      </c>
      <c r="H804" s="15">
        <f>MONTH(tblClean[[#This Row],[Date]])</f>
        <v>9</v>
      </c>
      <c r="I804" s="15">
        <f>YEAR(tblClean[[#This Row],[Date]])</f>
        <v>2022</v>
      </c>
    </row>
    <row r="805" spans="1:9" x14ac:dyDescent="0.25">
      <c r="A805" s="7">
        <v>44819</v>
      </c>
      <c r="B805" s="2" t="s">
        <v>1623</v>
      </c>
      <c r="C805" s="4" t="str">
        <f>TRIM(CLEAN(PROPER(tblClean[[#This Row],[Transaction Description]])))</f>
        <v>Turn Put Professional.</v>
      </c>
      <c r="D805" s="2" t="s">
        <v>10</v>
      </c>
      <c r="E805" s="3" t="str">
        <f>TRIM(CLEAN(PROPER(tblClean[[#This Row],[Category]])))</f>
        <v>Utilities</v>
      </c>
      <c r="F805" s="11" t="s">
        <v>1624</v>
      </c>
      <c r="G805" s="2" t="s">
        <v>8</v>
      </c>
      <c r="H805" s="15">
        <f>MONTH(tblClean[[#This Row],[Date]])</f>
        <v>9</v>
      </c>
      <c r="I805" s="15">
        <f>YEAR(tblClean[[#This Row],[Date]])</f>
        <v>2022</v>
      </c>
    </row>
    <row r="806" spans="1:9" x14ac:dyDescent="0.25">
      <c r="A806" s="6">
        <v>44821</v>
      </c>
      <c r="B806" s="1" t="s">
        <v>1625</v>
      </c>
      <c r="C806" s="3" t="str">
        <f>TRIM(CLEAN(PROPER(tblClean[[#This Row],[Transaction Description]])))</f>
        <v>When Summer He Firm Together.</v>
      </c>
      <c r="D806" s="1" t="s">
        <v>16</v>
      </c>
      <c r="E806" s="3" t="str">
        <f>TRIM(CLEAN(PROPER(tblClean[[#This Row],[Category]])))</f>
        <v>Investment</v>
      </c>
      <c r="F806" s="10" t="s">
        <v>1626</v>
      </c>
      <c r="G806" s="1" t="s">
        <v>18</v>
      </c>
      <c r="H806" s="15">
        <f>MONTH(tblClean[[#This Row],[Date]])</f>
        <v>9</v>
      </c>
      <c r="I806" s="15">
        <f>YEAR(tblClean[[#This Row],[Date]])</f>
        <v>2022</v>
      </c>
    </row>
    <row r="807" spans="1:9" x14ac:dyDescent="0.25">
      <c r="A807" s="7">
        <v>44822</v>
      </c>
      <c r="B807" s="2" t="s">
        <v>1627</v>
      </c>
      <c r="C807" s="4" t="str">
        <f>TRIM(CLEAN(PROPER(tblClean[[#This Row],[Transaction Description]])))</f>
        <v>Make Worker Trouble.</v>
      </c>
      <c r="D807" s="2" t="s">
        <v>38</v>
      </c>
      <c r="E807" s="3" t="str">
        <f>TRIM(CLEAN(PROPER(tblClean[[#This Row],[Category]])))</f>
        <v>Salary</v>
      </c>
      <c r="F807" s="11" t="s">
        <v>1628</v>
      </c>
      <c r="G807" s="2" t="s">
        <v>8</v>
      </c>
      <c r="H807" s="15">
        <f>MONTH(tblClean[[#This Row],[Date]])</f>
        <v>9</v>
      </c>
      <c r="I807" s="15">
        <f>YEAR(tblClean[[#This Row],[Date]])</f>
        <v>2022</v>
      </c>
    </row>
    <row r="808" spans="1:9" x14ac:dyDescent="0.25">
      <c r="A808" s="7">
        <v>44823</v>
      </c>
      <c r="B808" s="2" t="s">
        <v>1631</v>
      </c>
      <c r="C808" s="4" t="str">
        <f>TRIM(CLEAN(PROPER(tblClean[[#This Row],[Transaction Description]])))</f>
        <v>Allow Girl Team Simply Lead.</v>
      </c>
      <c r="D808" s="2" t="s">
        <v>35</v>
      </c>
      <c r="E808" s="3" t="str">
        <f>TRIM(CLEAN(PROPER(tblClean[[#This Row],[Category]])))</f>
        <v>Health &amp; Fitness</v>
      </c>
      <c r="F808" s="11" t="s">
        <v>1632</v>
      </c>
      <c r="G808" s="2" t="s">
        <v>8</v>
      </c>
      <c r="H808" s="15">
        <f>MONTH(tblClean[[#This Row],[Date]])</f>
        <v>9</v>
      </c>
      <c r="I808" s="15">
        <f>YEAR(tblClean[[#This Row],[Date]])</f>
        <v>2022</v>
      </c>
    </row>
    <row r="809" spans="1:9" x14ac:dyDescent="0.25">
      <c r="A809" s="6">
        <v>44823</v>
      </c>
      <c r="B809" s="1" t="s">
        <v>1629</v>
      </c>
      <c r="C809" s="3" t="str">
        <f>TRIM(CLEAN(PROPER(tblClean[[#This Row],[Transaction Description]])))</f>
        <v>Develop Office Approach Son.</v>
      </c>
      <c r="D809" s="1" t="s">
        <v>22</v>
      </c>
      <c r="E809" s="3" t="str">
        <f>TRIM(CLEAN(PROPER(tblClean[[#This Row],[Category]])))</f>
        <v>Shopping</v>
      </c>
      <c r="F809" s="10" t="s">
        <v>1630</v>
      </c>
      <c r="G809" s="1" t="s">
        <v>8</v>
      </c>
      <c r="H809" s="15">
        <f>MONTH(tblClean[[#This Row],[Date]])</f>
        <v>9</v>
      </c>
      <c r="I809" s="15">
        <f>YEAR(tblClean[[#This Row],[Date]])</f>
        <v>2022</v>
      </c>
    </row>
    <row r="810" spans="1:9" x14ac:dyDescent="0.25">
      <c r="A810" s="6">
        <v>44825</v>
      </c>
      <c r="B810" s="1" t="s">
        <v>1633</v>
      </c>
      <c r="C810" s="3" t="str">
        <f>TRIM(CLEAN(PROPER(tblClean[[#This Row],[Transaction Description]])))</f>
        <v>Least Ready Activity Decision Ok.</v>
      </c>
      <c r="D810" s="1" t="s">
        <v>10</v>
      </c>
      <c r="E810" s="3" t="str">
        <f>TRIM(CLEAN(PROPER(tblClean[[#This Row],[Category]])))</f>
        <v>Utilities</v>
      </c>
      <c r="F810" s="10" t="s">
        <v>1634</v>
      </c>
      <c r="G810" s="1" t="s">
        <v>8</v>
      </c>
      <c r="H810" s="15">
        <f>MONTH(tblClean[[#This Row],[Date]])</f>
        <v>9</v>
      </c>
      <c r="I810" s="15">
        <f>YEAR(tblClean[[#This Row],[Date]])</f>
        <v>2022</v>
      </c>
    </row>
    <row r="811" spans="1:9" x14ac:dyDescent="0.25">
      <c r="A811" s="7">
        <v>44827</v>
      </c>
      <c r="B811" s="2" t="s">
        <v>1635</v>
      </c>
      <c r="C811" s="4" t="str">
        <f>TRIM(CLEAN(PROPER(tblClean[[#This Row],[Transaction Description]])))</f>
        <v>Party Employee Nature Down.</v>
      </c>
      <c r="D811" s="2" t="s">
        <v>53</v>
      </c>
      <c r="E811" s="3" t="str">
        <f>TRIM(CLEAN(PROPER(tblClean[[#This Row],[Category]])))</f>
        <v>Travel</v>
      </c>
      <c r="F811" s="11" t="s">
        <v>1636</v>
      </c>
      <c r="G811" s="2" t="s">
        <v>8</v>
      </c>
      <c r="H811" s="15">
        <f>MONTH(tblClean[[#This Row],[Date]])</f>
        <v>9</v>
      </c>
      <c r="I811" s="15">
        <f>YEAR(tblClean[[#This Row],[Date]])</f>
        <v>2022</v>
      </c>
    </row>
    <row r="812" spans="1:9" x14ac:dyDescent="0.25">
      <c r="A812" s="7">
        <v>44830</v>
      </c>
      <c r="B812" s="2" t="s">
        <v>1639</v>
      </c>
      <c r="C812" s="4" t="str">
        <f>TRIM(CLEAN(PROPER(tblClean[[#This Row],[Transaction Description]])))</f>
        <v>Evidence Conference Capital Office.</v>
      </c>
      <c r="D812" s="2" t="s">
        <v>13</v>
      </c>
      <c r="E812" s="3" t="str">
        <f>TRIM(CLEAN(PROPER(tblClean[[#This Row],[Category]])))</f>
        <v>Rent</v>
      </c>
      <c r="F812" s="11" t="s">
        <v>1640</v>
      </c>
      <c r="G812" s="2" t="s">
        <v>8</v>
      </c>
      <c r="H812" s="15">
        <f>MONTH(tblClean[[#This Row],[Date]])</f>
        <v>9</v>
      </c>
      <c r="I812" s="15">
        <f>YEAR(tblClean[[#This Row],[Date]])</f>
        <v>2022</v>
      </c>
    </row>
    <row r="813" spans="1:9" x14ac:dyDescent="0.25">
      <c r="A813" s="6">
        <v>44830</v>
      </c>
      <c r="B813" s="1" t="s">
        <v>1637</v>
      </c>
      <c r="C813" s="3" t="str">
        <f>TRIM(CLEAN(PROPER(tblClean[[#This Row],[Transaction Description]])))</f>
        <v>Gas Contain Interest Industry Sell.</v>
      </c>
      <c r="D813" s="1" t="s">
        <v>10</v>
      </c>
      <c r="E813" s="3" t="str">
        <f>TRIM(CLEAN(PROPER(tblClean[[#This Row],[Category]])))</f>
        <v>Utilities</v>
      </c>
      <c r="F813" s="10" t="s">
        <v>1638</v>
      </c>
      <c r="G813" s="1" t="s">
        <v>8</v>
      </c>
      <c r="H813" s="15">
        <f>MONTH(tblClean[[#This Row],[Date]])</f>
        <v>9</v>
      </c>
      <c r="I813" s="15">
        <f>YEAR(tblClean[[#This Row],[Date]])</f>
        <v>2022</v>
      </c>
    </row>
    <row r="814" spans="1:9" x14ac:dyDescent="0.25">
      <c r="A814" s="6">
        <v>44832</v>
      </c>
      <c r="B814" s="1" t="s">
        <v>1641</v>
      </c>
      <c r="C814" s="3" t="str">
        <f>TRIM(CLEAN(PROPER(tblClean[[#This Row],[Transaction Description]])))</f>
        <v>Result Sound.</v>
      </c>
      <c r="D814" s="1" t="s">
        <v>22</v>
      </c>
      <c r="E814" s="3" t="str">
        <f>TRIM(CLEAN(PROPER(tblClean[[#This Row],[Category]])))</f>
        <v>Shopping</v>
      </c>
      <c r="F814" s="10" t="s">
        <v>1642</v>
      </c>
      <c r="G814" s="1" t="s">
        <v>8</v>
      </c>
      <c r="H814" s="15">
        <f>MONTH(tblClean[[#This Row],[Date]])</f>
        <v>9</v>
      </c>
      <c r="I814" s="15">
        <f>YEAR(tblClean[[#This Row],[Date]])</f>
        <v>2022</v>
      </c>
    </row>
    <row r="815" spans="1:9" x14ac:dyDescent="0.25">
      <c r="A815" s="6">
        <v>44833</v>
      </c>
      <c r="B815" s="1" t="s">
        <v>1645</v>
      </c>
      <c r="C815" s="3" t="str">
        <f>TRIM(CLEAN(PROPER(tblClean[[#This Row],[Transaction Description]])))</f>
        <v>Computer Matter.</v>
      </c>
      <c r="D815" s="1" t="s">
        <v>16</v>
      </c>
      <c r="E815" s="3" t="str">
        <f>TRIM(CLEAN(PROPER(tblClean[[#This Row],[Category]])))</f>
        <v>Investment</v>
      </c>
      <c r="F815" s="10" t="s">
        <v>1646</v>
      </c>
      <c r="G815" s="1" t="s">
        <v>18</v>
      </c>
      <c r="H815" s="15">
        <f>MONTH(tblClean[[#This Row],[Date]])</f>
        <v>9</v>
      </c>
      <c r="I815" s="15">
        <f>YEAR(tblClean[[#This Row],[Date]])</f>
        <v>2022</v>
      </c>
    </row>
    <row r="816" spans="1:9" x14ac:dyDescent="0.25">
      <c r="A816" s="7">
        <v>44833</v>
      </c>
      <c r="B816" s="2" t="s">
        <v>1643</v>
      </c>
      <c r="C816" s="4" t="str">
        <f>TRIM(CLEAN(PROPER(tblClean[[#This Row],[Transaction Description]])))</f>
        <v>Task Cultural Son School.</v>
      </c>
      <c r="D816" s="2" t="s">
        <v>27</v>
      </c>
      <c r="E816" s="3" t="str">
        <f>TRIM(CLEAN(PROPER(tblClean[[#This Row],[Category]])))</f>
        <v>Other</v>
      </c>
      <c r="F816" s="11" t="s">
        <v>1644</v>
      </c>
      <c r="G816" s="2" t="s">
        <v>18</v>
      </c>
      <c r="H816" s="15">
        <f>MONTH(tblClean[[#This Row],[Date]])</f>
        <v>9</v>
      </c>
      <c r="I816" s="15">
        <f>YEAR(tblClean[[#This Row],[Date]])</f>
        <v>2022</v>
      </c>
    </row>
    <row r="817" spans="1:9" x14ac:dyDescent="0.25">
      <c r="A817" s="7">
        <v>44834</v>
      </c>
      <c r="B817" s="2" t="s">
        <v>1647</v>
      </c>
      <c r="C817" s="4" t="str">
        <f>TRIM(CLEAN(PROPER(tblClean[[#This Row],[Transaction Description]])))</f>
        <v>Result Size Feel No Nothing.</v>
      </c>
      <c r="D817" s="2" t="s">
        <v>10</v>
      </c>
      <c r="E817" s="3" t="str">
        <f>TRIM(CLEAN(PROPER(tblClean[[#This Row],[Category]])))</f>
        <v>Utilities</v>
      </c>
      <c r="F817" s="11" t="s">
        <v>1648</v>
      </c>
      <c r="G817" s="2" t="s">
        <v>8</v>
      </c>
      <c r="H817" s="15">
        <f>MONTH(tblClean[[#This Row],[Date]])</f>
        <v>9</v>
      </c>
      <c r="I817" s="15">
        <f>YEAR(tblClean[[#This Row],[Date]])</f>
        <v>2022</v>
      </c>
    </row>
    <row r="818" spans="1:9" x14ac:dyDescent="0.25">
      <c r="A818" s="6">
        <v>44835</v>
      </c>
      <c r="B818" s="1" t="s">
        <v>1649</v>
      </c>
      <c r="C818" s="3" t="str">
        <f>TRIM(CLEAN(PROPER(tblClean[[#This Row],[Transaction Description]])))</f>
        <v>Real Art.</v>
      </c>
      <c r="D818" s="1" t="s">
        <v>6</v>
      </c>
      <c r="E818" s="3" t="str">
        <f>TRIM(CLEAN(PROPER(tblClean[[#This Row],[Category]])))</f>
        <v>Food &amp; Drink</v>
      </c>
      <c r="F818" s="10" t="s">
        <v>1650</v>
      </c>
      <c r="G818" s="1" t="s">
        <v>8</v>
      </c>
      <c r="H818" s="15">
        <f>MONTH(tblClean[[#This Row],[Date]])</f>
        <v>10</v>
      </c>
      <c r="I818" s="15">
        <f>YEAR(tblClean[[#This Row],[Date]])</f>
        <v>2022</v>
      </c>
    </row>
    <row r="819" spans="1:9" x14ac:dyDescent="0.25">
      <c r="A819" s="7">
        <v>44836</v>
      </c>
      <c r="B819" s="2" t="s">
        <v>1651</v>
      </c>
      <c r="C819" s="4" t="str">
        <f>TRIM(CLEAN(PROPER(tblClean[[#This Row],[Transaction Description]])))</f>
        <v>Stuff Benefit Seat Employee.</v>
      </c>
      <c r="D819" s="2" t="s">
        <v>38</v>
      </c>
      <c r="E819" s="3" t="str">
        <f>TRIM(CLEAN(PROPER(tblClean[[#This Row],[Category]])))</f>
        <v>Salary</v>
      </c>
      <c r="F819" s="11" t="s">
        <v>1652</v>
      </c>
      <c r="G819" s="2" t="s">
        <v>8</v>
      </c>
      <c r="H819" s="15">
        <f>MONTH(tblClean[[#This Row],[Date]])</f>
        <v>10</v>
      </c>
      <c r="I819" s="15">
        <f>YEAR(tblClean[[#This Row],[Date]])</f>
        <v>2022</v>
      </c>
    </row>
    <row r="820" spans="1:9" x14ac:dyDescent="0.25">
      <c r="A820" s="6">
        <v>44837</v>
      </c>
      <c r="B820" s="1" t="s">
        <v>1653</v>
      </c>
      <c r="C820" s="3" t="str">
        <f>TRIM(CLEAN(PROPER(tblClean[[#This Row],[Transaction Description]])))</f>
        <v>Newspaper Special General In Go.</v>
      </c>
      <c r="D820" s="1" t="s">
        <v>38</v>
      </c>
      <c r="E820" s="3" t="str">
        <f>TRIM(CLEAN(PROPER(tblClean[[#This Row],[Category]])))</f>
        <v>Salary</v>
      </c>
      <c r="F820" s="10" t="s">
        <v>1654</v>
      </c>
      <c r="G820" s="1" t="s">
        <v>8</v>
      </c>
      <c r="H820" s="15">
        <f>MONTH(tblClean[[#This Row],[Date]])</f>
        <v>10</v>
      </c>
      <c r="I820" s="15">
        <f>YEAR(tblClean[[#This Row],[Date]])</f>
        <v>2022</v>
      </c>
    </row>
    <row r="821" spans="1:9" x14ac:dyDescent="0.25">
      <c r="A821" s="6">
        <v>44838</v>
      </c>
      <c r="B821" s="1" t="s">
        <v>1657</v>
      </c>
      <c r="C821" s="3" t="str">
        <f>TRIM(CLEAN(PROPER(tblClean[[#This Row],[Transaction Description]])))</f>
        <v>Simple Land Bad Party.</v>
      </c>
      <c r="D821" s="1" t="s">
        <v>16</v>
      </c>
      <c r="E821" s="3" t="str">
        <f>TRIM(CLEAN(PROPER(tblClean[[#This Row],[Category]])))</f>
        <v>Investment</v>
      </c>
      <c r="F821" s="10" t="s">
        <v>1658</v>
      </c>
      <c r="G821" s="1" t="s">
        <v>18</v>
      </c>
      <c r="H821" s="15">
        <f>MONTH(tblClean[[#This Row],[Date]])</f>
        <v>10</v>
      </c>
      <c r="I821" s="15">
        <f>YEAR(tblClean[[#This Row],[Date]])</f>
        <v>2022</v>
      </c>
    </row>
    <row r="822" spans="1:9" x14ac:dyDescent="0.25">
      <c r="A822" s="7">
        <v>44838</v>
      </c>
      <c r="B822" s="2" t="s">
        <v>1655</v>
      </c>
      <c r="C822" s="4" t="str">
        <f>TRIM(CLEAN(PROPER(tblClean[[#This Row],[Transaction Description]])))</f>
        <v>Office Power Company Sister Great.</v>
      </c>
      <c r="D822" s="2" t="s">
        <v>38</v>
      </c>
      <c r="E822" s="3" t="str">
        <f>TRIM(CLEAN(PROPER(tblClean[[#This Row],[Category]])))</f>
        <v>Salary</v>
      </c>
      <c r="F822" s="11" t="s">
        <v>1656</v>
      </c>
      <c r="G822" s="2" t="s">
        <v>8</v>
      </c>
      <c r="H822" s="15">
        <f>MONTH(tblClean[[#This Row],[Date]])</f>
        <v>10</v>
      </c>
      <c r="I822" s="15">
        <f>YEAR(tblClean[[#This Row],[Date]])</f>
        <v>2022</v>
      </c>
    </row>
    <row r="823" spans="1:9" x14ac:dyDescent="0.25">
      <c r="A823" s="7">
        <v>44839</v>
      </c>
      <c r="B823" s="2" t="s">
        <v>1659</v>
      </c>
      <c r="C823" s="4" t="str">
        <f>TRIM(CLEAN(PROPER(tblClean[[#This Row],[Transaction Description]])))</f>
        <v>What Than Political Up Instead.</v>
      </c>
      <c r="D823" s="2" t="s">
        <v>53</v>
      </c>
      <c r="E823" s="3" t="str">
        <f>TRIM(CLEAN(PROPER(tblClean[[#This Row],[Category]])))</f>
        <v>Travel</v>
      </c>
      <c r="F823" s="11" t="s">
        <v>1660</v>
      </c>
      <c r="G823" s="2" t="s">
        <v>8</v>
      </c>
      <c r="H823" s="15">
        <f>MONTH(tblClean[[#This Row],[Date]])</f>
        <v>10</v>
      </c>
      <c r="I823" s="15">
        <f>YEAR(tblClean[[#This Row],[Date]])</f>
        <v>2022</v>
      </c>
    </row>
    <row r="824" spans="1:9" x14ac:dyDescent="0.25">
      <c r="A824" s="6">
        <v>44842</v>
      </c>
      <c r="B824" s="1" t="s">
        <v>1661</v>
      </c>
      <c r="C824" s="3" t="str">
        <f>TRIM(CLEAN(PROPER(tblClean[[#This Row],[Transaction Description]])))</f>
        <v>Support Author Class Direction.</v>
      </c>
      <c r="D824" s="1" t="s">
        <v>38</v>
      </c>
      <c r="E824" s="3" t="str">
        <f>TRIM(CLEAN(PROPER(tblClean[[#This Row],[Category]])))</f>
        <v>Salary</v>
      </c>
      <c r="F824" s="10" t="s">
        <v>1662</v>
      </c>
      <c r="G824" s="1" t="s">
        <v>8</v>
      </c>
      <c r="H824" s="15">
        <f>MONTH(tblClean[[#This Row],[Date]])</f>
        <v>10</v>
      </c>
      <c r="I824" s="15">
        <f>YEAR(tblClean[[#This Row],[Date]])</f>
        <v>2022</v>
      </c>
    </row>
    <row r="825" spans="1:9" x14ac:dyDescent="0.25">
      <c r="A825" s="7">
        <v>44844</v>
      </c>
      <c r="B825" s="2" t="s">
        <v>1663</v>
      </c>
      <c r="C825" s="4" t="str">
        <f>TRIM(CLEAN(PROPER(tblClean[[#This Row],[Transaction Description]])))</f>
        <v>Report Painting House.</v>
      </c>
      <c r="D825" s="2" t="s">
        <v>38</v>
      </c>
      <c r="E825" s="3" t="str">
        <f>TRIM(CLEAN(PROPER(tblClean[[#This Row],[Category]])))</f>
        <v>Salary</v>
      </c>
      <c r="F825" s="11" t="s">
        <v>1664</v>
      </c>
      <c r="G825" s="2" t="s">
        <v>8</v>
      </c>
      <c r="H825" s="15">
        <f>MONTH(tblClean[[#This Row],[Date]])</f>
        <v>10</v>
      </c>
      <c r="I825" s="15">
        <f>YEAR(tblClean[[#This Row],[Date]])</f>
        <v>2022</v>
      </c>
    </row>
    <row r="826" spans="1:9" x14ac:dyDescent="0.25">
      <c r="A826" s="7">
        <v>44846</v>
      </c>
      <c r="B826" s="2" t="s">
        <v>1667</v>
      </c>
      <c r="C826" s="4" t="str">
        <f>TRIM(CLEAN(PROPER(tblClean[[#This Row],[Transaction Description]])))</f>
        <v>Road Product Wait.</v>
      </c>
      <c r="D826" s="2" t="s">
        <v>35</v>
      </c>
      <c r="E826" s="3" t="str">
        <f>TRIM(CLEAN(PROPER(tblClean[[#This Row],[Category]])))</f>
        <v>Health &amp; Fitness</v>
      </c>
      <c r="F826" s="11" t="s">
        <v>1668</v>
      </c>
      <c r="G826" s="2" t="s">
        <v>8</v>
      </c>
      <c r="H826" s="15">
        <f>MONTH(tblClean[[#This Row],[Date]])</f>
        <v>10</v>
      </c>
      <c r="I826" s="15">
        <f>YEAR(tblClean[[#This Row],[Date]])</f>
        <v>2022</v>
      </c>
    </row>
    <row r="827" spans="1:9" x14ac:dyDescent="0.25">
      <c r="A827" s="6">
        <v>44846</v>
      </c>
      <c r="B827" s="1" t="s">
        <v>1665</v>
      </c>
      <c r="C827" s="3" t="str">
        <f>TRIM(CLEAN(PROPER(tblClean[[#This Row],[Transaction Description]])))</f>
        <v>Security Minute Late Cold.</v>
      </c>
      <c r="D827" s="1" t="s">
        <v>16</v>
      </c>
      <c r="E827" s="3" t="str">
        <f>TRIM(CLEAN(PROPER(tblClean[[#This Row],[Category]])))</f>
        <v>Investment</v>
      </c>
      <c r="F827" s="10" t="s">
        <v>1666</v>
      </c>
      <c r="G827" s="1" t="s">
        <v>18</v>
      </c>
      <c r="H827" s="15">
        <f>MONTH(tblClean[[#This Row],[Date]])</f>
        <v>10</v>
      </c>
      <c r="I827" s="15">
        <f>YEAR(tblClean[[#This Row],[Date]])</f>
        <v>2022</v>
      </c>
    </row>
    <row r="828" spans="1:9" x14ac:dyDescent="0.25">
      <c r="A828" s="6">
        <v>44847</v>
      </c>
      <c r="B828" s="1" t="s">
        <v>1669</v>
      </c>
      <c r="C828" s="3" t="str">
        <f>TRIM(CLEAN(PROPER(tblClean[[#This Row],[Transaction Description]])))</f>
        <v>Cold Billion As.</v>
      </c>
      <c r="D828" s="1" t="s">
        <v>38</v>
      </c>
      <c r="E828" s="3" t="str">
        <f>TRIM(CLEAN(PROPER(tblClean[[#This Row],[Category]])))</f>
        <v>Salary</v>
      </c>
      <c r="F828" s="10" t="s">
        <v>1670</v>
      </c>
      <c r="G828" s="1" t="s">
        <v>8</v>
      </c>
      <c r="H828" s="15">
        <f>MONTH(tblClean[[#This Row],[Date]])</f>
        <v>10</v>
      </c>
      <c r="I828" s="15">
        <f>YEAR(tblClean[[#This Row],[Date]])</f>
        <v>2022</v>
      </c>
    </row>
    <row r="829" spans="1:9" x14ac:dyDescent="0.25">
      <c r="A829" s="6">
        <v>44853</v>
      </c>
      <c r="B829" s="1" t="s">
        <v>1673</v>
      </c>
      <c r="C829" s="3" t="str">
        <f>TRIM(CLEAN(PROPER(tblClean[[#This Row],[Transaction Description]])))</f>
        <v>Pressure Those.</v>
      </c>
      <c r="D829" s="1" t="s">
        <v>30</v>
      </c>
      <c r="E829" s="3" t="str">
        <f>TRIM(CLEAN(PROPER(tblClean[[#This Row],[Category]])))</f>
        <v>Entertainment</v>
      </c>
      <c r="F829" s="10" t="s">
        <v>1674</v>
      </c>
      <c r="G829" s="1" t="s">
        <v>8</v>
      </c>
      <c r="H829" s="15">
        <f>MONTH(tblClean[[#This Row],[Date]])</f>
        <v>10</v>
      </c>
      <c r="I829" s="15">
        <f>YEAR(tblClean[[#This Row],[Date]])</f>
        <v>2022</v>
      </c>
    </row>
    <row r="830" spans="1:9" x14ac:dyDescent="0.25">
      <c r="A830" s="7">
        <v>44853</v>
      </c>
      <c r="B830" s="2" t="s">
        <v>1671</v>
      </c>
      <c r="C830" s="4" t="str">
        <f>TRIM(CLEAN(PROPER(tblClean[[#This Row],[Transaction Description]])))</f>
        <v>Approach Side Model You Billion.</v>
      </c>
      <c r="D830" s="2" t="s">
        <v>13</v>
      </c>
      <c r="E830" s="3" t="str">
        <f>TRIM(CLEAN(PROPER(tblClean[[#This Row],[Category]])))</f>
        <v>Rent</v>
      </c>
      <c r="F830" s="11" t="s">
        <v>1672</v>
      </c>
      <c r="G830" s="2" t="s">
        <v>8</v>
      </c>
      <c r="H830" s="15">
        <f>MONTH(tblClean[[#This Row],[Date]])</f>
        <v>10</v>
      </c>
      <c r="I830" s="15">
        <f>YEAR(tblClean[[#This Row],[Date]])</f>
        <v>2022</v>
      </c>
    </row>
    <row r="831" spans="1:9" x14ac:dyDescent="0.25">
      <c r="A831" s="7">
        <v>44854</v>
      </c>
      <c r="B831" s="2" t="s">
        <v>1675</v>
      </c>
      <c r="C831" s="4" t="str">
        <f>TRIM(CLEAN(PROPER(tblClean[[#This Row],[Transaction Description]])))</f>
        <v>Easy Exist Phone.</v>
      </c>
      <c r="D831" s="2" t="s">
        <v>38</v>
      </c>
      <c r="E831" s="3" t="str">
        <f>TRIM(CLEAN(PROPER(tblClean[[#This Row],[Category]])))</f>
        <v>Salary</v>
      </c>
      <c r="F831" s="11" t="s">
        <v>1676</v>
      </c>
      <c r="G831" s="2" t="s">
        <v>8</v>
      </c>
      <c r="H831" s="15">
        <f>MONTH(tblClean[[#This Row],[Date]])</f>
        <v>10</v>
      </c>
      <c r="I831" s="15">
        <f>YEAR(tblClean[[#This Row],[Date]])</f>
        <v>2022</v>
      </c>
    </row>
    <row r="832" spans="1:9" x14ac:dyDescent="0.25">
      <c r="A832" s="6">
        <v>44855</v>
      </c>
      <c r="B832" s="1" t="s">
        <v>1677</v>
      </c>
      <c r="C832" s="3" t="str">
        <f>TRIM(CLEAN(PROPER(tblClean[[#This Row],[Transaction Description]])))</f>
        <v>Stuff Agreement Professional Team Foot.</v>
      </c>
      <c r="D832" s="1" t="s">
        <v>13</v>
      </c>
      <c r="E832" s="3" t="str">
        <f>TRIM(CLEAN(PROPER(tblClean[[#This Row],[Category]])))</f>
        <v>Rent</v>
      </c>
      <c r="F832" s="10" t="s">
        <v>1678</v>
      </c>
      <c r="G832" s="1" t="s">
        <v>8</v>
      </c>
      <c r="H832" s="15">
        <f>MONTH(tblClean[[#This Row],[Date]])</f>
        <v>10</v>
      </c>
      <c r="I832" s="15">
        <f>YEAR(tblClean[[#This Row],[Date]])</f>
        <v>2022</v>
      </c>
    </row>
    <row r="833" spans="1:9" x14ac:dyDescent="0.25">
      <c r="A833" s="7">
        <v>44856</v>
      </c>
      <c r="B833" s="2" t="s">
        <v>1679</v>
      </c>
      <c r="C833" s="4" t="str">
        <f>TRIM(CLEAN(PROPER(tblClean[[#This Row],[Transaction Description]])))</f>
        <v>Window Music Evening Know.</v>
      </c>
      <c r="D833" s="2" t="s">
        <v>30</v>
      </c>
      <c r="E833" s="3" t="str">
        <f>TRIM(CLEAN(PROPER(tblClean[[#This Row],[Category]])))</f>
        <v>Entertainment</v>
      </c>
      <c r="F833" s="11" t="s">
        <v>1680</v>
      </c>
      <c r="G833" s="2" t="s">
        <v>8</v>
      </c>
      <c r="H833" s="15">
        <f>MONTH(tblClean[[#This Row],[Date]])</f>
        <v>10</v>
      </c>
      <c r="I833" s="15">
        <f>YEAR(tblClean[[#This Row],[Date]])</f>
        <v>2022</v>
      </c>
    </row>
    <row r="834" spans="1:9" x14ac:dyDescent="0.25">
      <c r="A834" s="6">
        <v>44857</v>
      </c>
      <c r="B834" s="1" t="s">
        <v>1681</v>
      </c>
      <c r="C834" s="3" t="str">
        <f>TRIM(CLEAN(PROPER(tblClean[[#This Row],[Transaction Description]])))</f>
        <v>Opportunity Lead See.</v>
      </c>
      <c r="D834" s="1" t="s">
        <v>35</v>
      </c>
      <c r="E834" s="3" t="str">
        <f>TRIM(CLEAN(PROPER(tblClean[[#This Row],[Category]])))</f>
        <v>Health &amp; Fitness</v>
      </c>
      <c r="F834" s="10" t="s">
        <v>1682</v>
      </c>
      <c r="G834" s="1" t="s">
        <v>8</v>
      </c>
      <c r="H834" s="15">
        <f>MONTH(tblClean[[#This Row],[Date]])</f>
        <v>10</v>
      </c>
      <c r="I834" s="15">
        <f>YEAR(tblClean[[#This Row],[Date]])</f>
        <v>2022</v>
      </c>
    </row>
    <row r="835" spans="1:9" x14ac:dyDescent="0.25">
      <c r="A835" s="7">
        <v>44859</v>
      </c>
      <c r="B835" s="2" t="s">
        <v>1683</v>
      </c>
      <c r="C835" s="4" t="str">
        <f>TRIM(CLEAN(PROPER(tblClean[[#This Row],[Transaction Description]])))</f>
        <v>Model Police Finally Girl.</v>
      </c>
      <c r="D835" s="2" t="s">
        <v>22</v>
      </c>
      <c r="E835" s="3" t="str">
        <f>TRIM(CLEAN(PROPER(tblClean[[#This Row],[Category]])))</f>
        <v>Shopping</v>
      </c>
      <c r="F835" s="11" t="s">
        <v>1684</v>
      </c>
      <c r="G835" s="2" t="s">
        <v>8</v>
      </c>
      <c r="H835" s="15">
        <f>MONTH(tblClean[[#This Row],[Date]])</f>
        <v>10</v>
      </c>
      <c r="I835" s="15">
        <f>YEAR(tblClean[[#This Row],[Date]])</f>
        <v>2022</v>
      </c>
    </row>
    <row r="836" spans="1:9" x14ac:dyDescent="0.25">
      <c r="A836" s="6">
        <v>44862</v>
      </c>
      <c r="B836" s="1" t="s">
        <v>1685</v>
      </c>
      <c r="C836" s="3" t="str">
        <f>TRIM(CLEAN(PROPER(tblClean[[#This Row],[Transaction Description]])))</f>
        <v>Source Kind Hand.</v>
      </c>
      <c r="D836" s="1" t="s">
        <v>16</v>
      </c>
      <c r="E836" s="3" t="str">
        <f>TRIM(CLEAN(PROPER(tblClean[[#This Row],[Category]])))</f>
        <v>Investment</v>
      </c>
      <c r="F836" s="10" t="s">
        <v>1686</v>
      </c>
      <c r="G836" s="1" t="s">
        <v>18</v>
      </c>
      <c r="H836" s="15">
        <f>MONTH(tblClean[[#This Row],[Date]])</f>
        <v>10</v>
      </c>
      <c r="I836" s="15">
        <f>YEAR(tblClean[[#This Row],[Date]])</f>
        <v>2022</v>
      </c>
    </row>
    <row r="837" spans="1:9" x14ac:dyDescent="0.25">
      <c r="A837" s="7">
        <v>44864</v>
      </c>
      <c r="B837" s="2" t="s">
        <v>1687</v>
      </c>
      <c r="C837" s="4" t="str">
        <f>TRIM(CLEAN(PROPER(tblClean[[#This Row],[Transaction Description]])))</f>
        <v>Field A Spring.</v>
      </c>
      <c r="D837" s="2" t="s">
        <v>35</v>
      </c>
      <c r="E837" s="3" t="str">
        <f>TRIM(CLEAN(PROPER(tblClean[[#This Row],[Category]])))</f>
        <v>Health &amp; Fitness</v>
      </c>
      <c r="F837" s="11" t="s">
        <v>1688</v>
      </c>
      <c r="G837" s="2" t="s">
        <v>8</v>
      </c>
      <c r="H837" s="15">
        <f>MONTH(tblClean[[#This Row],[Date]])</f>
        <v>10</v>
      </c>
      <c r="I837" s="15">
        <f>YEAR(tblClean[[#This Row],[Date]])</f>
        <v>2022</v>
      </c>
    </row>
    <row r="838" spans="1:9" x14ac:dyDescent="0.25">
      <c r="A838" s="6">
        <v>44865</v>
      </c>
      <c r="B838" s="1" t="s">
        <v>1689</v>
      </c>
      <c r="C838" s="3" t="str">
        <f>TRIM(CLEAN(PROPER(tblClean[[#This Row],[Transaction Description]])))</f>
        <v>Expert Movement Reach Man.</v>
      </c>
      <c r="D838" s="1" t="s">
        <v>10</v>
      </c>
      <c r="E838" s="3" t="str">
        <f>TRIM(CLEAN(PROPER(tblClean[[#This Row],[Category]])))</f>
        <v>Utilities</v>
      </c>
      <c r="F838" s="10" t="s">
        <v>1690</v>
      </c>
      <c r="G838" s="1" t="s">
        <v>8</v>
      </c>
      <c r="H838" s="15">
        <f>MONTH(tblClean[[#This Row],[Date]])</f>
        <v>10</v>
      </c>
      <c r="I838" s="15">
        <f>YEAR(tblClean[[#This Row],[Date]])</f>
        <v>2022</v>
      </c>
    </row>
    <row r="839" spans="1:9" x14ac:dyDescent="0.25">
      <c r="A839" s="7">
        <v>44868</v>
      </c>
      <c r="B839" s="2" t="s">
        <v>1691</v>
      </c>
      <c r="C839" s="4" t="str">
        <f>TRIM(CLEAN(PROPER(tblClean[[#This Row],[Transaction Description]])))</f>
        <v>Across Involve Fall.</v>
      </c>
      <c r="D839" s="2" t="s">
        <v>53</v>
      </c>
      <c r="E839" s="3" t="str">
        <f>TRIM(CLEAN(PROPER(tblClean[[#This Row],[Category]])))</f>
        <v>Travel</v>
      </c>
      <c r="F839" s="11" t="s">
        <v>1692</v>
      </c>
      <c r="G839" s="2" t="s">
        <v>8</v>
      </c>
      <c r="H839" s="15">
        <f>MONTH(tblClean[[#This Row],[Date]])</f>
        <v>11</v>
      </c>
      <c r="I839" s="15">
        <f>YEAR(tblClean[[#This Row],[Date]])</f>
        <v>2022</v>
      </c>
    </row>
    <row r="840" spans="1:9" x14ac:dyDescent="0.25">
      <c r="A840" s="6">
        <v>44869</v>
      </c>
      <c r="B840" s="1" t="s">
        <v>1693</v>
      </c>
      <c r="C840" s="3" t="str">
        <f>TRIM(CLEAN(PROPER(tblClean[[#This Row],[Transaction Description]])))</f>
        <v>Nature Country.</v>
      </c>
      <c r="D840" s="1" t="s">
        <v>13</v>
      </c>
      <c r="E840" s="3" t="str">
        <f>TRIM(CLEAN(PROPER(tblClean[[#This Row],[Category]])))</f>
        <v>Rent</v>
      </c>
      <c r="F840" s="10" t="s">
        <v>1694</v>
      </c>
      <c r="G840" s="1" t="s">
        <v>8</v>
      </c>
      <c r="H840" s="15">
        <f>MONTH(tblClean[[#This Row],[Date]])</f>
        <v>11</v>
      </c>
      <c r="I840" s="15">
        <f>YEAR(tblClean[[#This Row],[Date]])</f>
        <v>2022</v>
      </c>
    </row>
    <row r="841" spans="1:9" x14ac:dyDescent="0.25">
      <c r="A841" s="7">
        <v>44870</v>
      </c>
      <c r="B841" s="2" t="s">
        <v>1695</v>
      </c>
      <c r="C841" s="4" t="str">
        <f>TRIM(CLEAN(PROPER(tblClean[[#This Row],[Transaction Description]])))</f>
        <v>House Clear Say Hope.</v>
      </c>
      <c r="D841" s="2" t="s">
        <v>22</v>
      </c>
      <c r="E841" s="3" t="str">
        <f>TRIM(CLEAN(PROPER(tblClean[[#This Row],[Category]])))</f>
        <v>Shopping</v>
      </c>
      <c r="F841" s="11" t="s">
        <v>1696</v>
      </c>
      <c r="G841" s="2" t="s">
        <v>8</v>
      </c>
      <c r="H841" s="15">
        <f>MONTH(tblClean[[#This Row],[Date]])</f>
        <v>11</v>
      </c>
      <c r="I841" s="15">
        <f>YEAR(tblClean[[#This Row],[Date]])</f>
        <v>2022</v>
      </c>
    </row>
    <row r="842" spans="1:9" x14ac:dyDescent="0.25">
      <c r="A842" s="7">
        <v>44872</v>
      </c>
      <c r="B842" s="2" t="s">
        <v>1699</v>
      </c>
      <c r="C842" s="4" t="str">
        <f>TRIM(CLEAN(PROPER(tblClean[[#This Row],[Transaction Description]])))</f>
        <v>Possible Mother Especially.</v>
      </c>
      <c r="D842" s="2" t="s">
        <v>16</v>
      </c>
      <c r="E842" s="3" t="str">
        <f>TRIM(CLEAN(PROPER(tblClean[[#This Row],[Category]])))</f>
        <v>Investment</v>
      </c>
      <c r="F842" s="11" t="s">
        <v>1700</v>
      </c>
      <c r="G842" s="2" t="s">
        <v>18</v>
      </c>
      <c r="H842" s="15">
        <f>MONTH(tblClean[[#This Row],[Date]])</f>
        <v>11</v>
      </c>
      <c r="I842" s="15">
        <f>YEAR(tblClean[[#This Row],[Date]])</f>
        <v>2022</v>
      </c>
    </row>
    <row r="843" spans="1:9" x14ac:dyDescent="0.25">
      <c r="A843" s="6">
        <v>44872</v>
      </c>
      <c r="B843" s="1" t="s">
        <v>1697</v>
      </c>
      <c r="C843" s="3" t="str">
        <f>TRIM(CLEAN(PROPER(tblClean[[#This Row],[Transaction Description]])))</f>
        <v>Enjoy Instead Dream.</v>
      </c>
      <c r="D843" s="1" t="s">
        <v>10</v>
      </c>
      <c r="E843" s="3" t="str">
        <f>TRIM(CLEAN(PROPER(tblClean[[#This Row],[Category]])))</f>
        <v>Utilities</v>
      </c>
      <c r="F843" s="10" t="s">
        <v>1698</v>
      </c>
      <c r="G843" s="1" t="s">
        <v>8</v>
      </c>
      <c r="H843" s="15">
        <f>MONTH(tblClean[[#This Row],[Date]])</f>
        <v>11</v>
      </c>
      <c r="I843" s="15">
        <f>YEAR(tblClean[[#This Row],[Date]])</f>
        <v>2022</v>
      </c>
    </row>
    <row r="844" spans="1:9" x14ac:dyDescent="0.25">
      <c r="A844" s="6">
        <v>44874</v>
      </c>
      <c r="B844" s="1" t="s">
        <v>1701</v>
      </c>
      <c r="C844" s="3" t="str">
        <f>TRIM(CLEAN(PROPER(tblClean[[#This Row],[Transaction Description]])))</f>
        <v>Consumer Face.</v>
      </c>
      <c r="D844" s="1" t="s">
        <v>22</v>
      </c>
      <c r="E844" s="3" t="str">
        <f>TRIM(CLEAN(PROPER(tblClean[[#This Row],[Category]])))</f>
        <v>Shopping</v>
      </c>
      <c r="F844" s="10" t="s">
        <v>1702</v>
      </c>
      <c r="G844" s="1" t="s">
        <v>8</v>
      </c>
      <c r="H844" s="15">
        <f>MONTH(tblClean[[#This Row],[Date]])</f>
        <v>11</v>
      </c>
      <c r="I844" s="15">
        <f>YEAR(tblClean[[#This Row],[Date]])</f>
        <v>2022</v>
      </c>
    </row>
    <row r="845" spans="1:9" x14ac:dyDescent="0.25">
      <c r="A845" s="7">
        <v>44875</v>
      </c>
      <c r="B845" s="2" t="s">
        <v>1703</v>
      </c>
      <c r="C845" s="4" t="str">
        <f>TRIM(CLEAN(PROPER(tblClean[[#This Row],[Transaction Description]])))</f>
        <v>Laugh Red Man Fly Charge.</v>
      </c>
      <c r="D845" s="2" t="s">
        <v>53</v>
      </c>
      <c r="E845" s="3" t="str">
        <f>TRIM(CLEAN(PROPER(tblClean[[#This Row],[Category]])))</f>
        <v>Travel</v>
      </c>
      <c r="F845" s="11" t="s">
        <v>1704</v>
      </c>
      <c r="G845" s="2" t="s">
        <v>8</v>
      </c>
      <c r="H845" s="15">
        <f>MONTH(tblClean[[#This Row],[Date]])</f>
        <v>11</v>
      </c>
      <c r="I845" s="15">
        <f>YEAR(tblClean[[#This Row],[Date]])</f>
        <v>2022</v>
      </c>
    </row>
    <row r="846" spans="1:9" x14ac:dyDescent="0.25">
      <c r="A846" s="6">
        <v>44878</v>
      </c>
      <c r="B846" s="1" t="s">
        <v>1705</v>
      </c>
      <c r="C846" s="3" t="str">
        <f>TRIM(CLEAN(PROPER(tblClean[[#This Row],[Transaction Description]])))</f>
        <v>Control Bill.</v>
      </c>
      <c r="D846" s="1" t="s">
        <v>13</v>
      </c>
      <c r="E846" s="3" t="str">
        <f>TRIM(CLEAN(PROPER(tblClean[[#This Row],[Category]])))</f>
        <v>Rent</v>
      </c>
      <c r="F846" s="10" t="s">
        <v>1706</v>
      </c>
      <c r="G846" s="1" t="s">
        <v>8</v>
      </c>
      <c r="H846" s="15">
        <f>MONTH(tblClean[[#This Row],[Date]])</f>
        <v>11</v>
      </c>
      <c r="I846" s="15">
        <f>YEAR(tblClean[[#This Row],[Date]])</f>
        <v>2022</v>
      </c>
    </row>
    <row r="847" spans="1:9" x14ac:dyDescent="0.25">
      <c r="A847" s="6">
        <v>44879</v>
      </c>
      <c r="B847" s="1" t="s">
        <v>1709</v>
      </c>
      <c r="C847" s="3" t="str">
        <f>TRIM(CLEAN(PROPER(tblClean[[#This Row],[Transaction Description]])))</f>
        <v>Management Game.</v>
      </c>
      <c r="D847" s="1" t="s">
        <v>35</v>
      </c>
      <c r="E847" s="3" t="str">
        <f>TRIM(CLEAN(PROPER(tblClean[[#This Row],[Category]])))</f>
        <v>Health &amp; Fitness</v>
      </c>
      <c r="F847" s="10" t="s">
        <v>1710</v>
      </c>
      <c r="G847" s="1" t="s">
        <v>8</v>
      </c>
      <c r="H847" s="15">
        <f>MONTH(tblClean[[#This Row],[Date]])</f>
        <v>11</v>
      </c>
      <c r="I847" s="15">
        <f>YEAR(tblClean[[#This Row],[Date]])</f>
        <v>2022</v>
      </c>
    </row>
    <row r="848" spans="1:9" x14ac:dyDescent="0.25">
      <c r="A848" s="7">
        <v>44879</v>
      </c>
      <c r="B848" s="2" t="s">
        <v>1707</v>
      </c>
      <c r="C848" s="4" t="str">
        <f>TRIM(CLEAN(PROPER(tblClean[[#This Row],[Transaction Description]])))</f>
        <v>Resource Road Do.</v>
      </c>
      <c r="D848" s="2" t="s">
        <v>13</v>
      </c>
      <c r="E848" s="3" t="str">
        <f>TRIM(CLEAN(PROPER(tblClean[[#This Row],[Category]])))</f>
        <v>Rent</v>
      </c>
      <c r="F848" s="11" t="s">
        <v>1708</v>
      </c>
      <c r="G848" s="2" t="s">
        <v>8</v>
      </c>
      <c r="H848" s="15">
        <f>MONTH(tblClean[[#This Row],[Date]])</f>
        <v>11</v>
      </c>
      <c r="I848" s="15">
        <f>YEAR(tblClean[[#This Row],[Date]])</f>
        <v>2022</v>
      </c>
    </row>
    <row r="849" spans="1:9" x14ac:dyDescent="0.25">
      <c r="A849" s="7">
        <v>44880</v>
      </c>
      <c r="B849" s="2" t="s">
        <v>1711</v>
      </c>
      <c r="C849" s="4" t="str">
        <f>TRIM(CLEAN(PROPER(tblClean[[#This Row],[Transaction Description]])))</f>
        <v>Your Less Social Form.</v>
      </c>
      <c r="D849" s="2" t="s">
        <v>6</v>
      </c>
      <c r="E849" s="3" t="str">
        <f>TRIM(CLEAN(PROPER(tblClean[[#This Row],[Category]])))</f>
        <v>Food &amp; Drink</v>
      </c>
      <c r="F849" s="11" t="s">
        <v>1712</v>
      </c>
      <c r="G849" s="2" t="s">
        <v>8</v>
      </c>
      <c r="H849" s="15">
        <f>MONTH(tblClean[[#This Row],[Date]])</f>
        <v>11</v>
      </c>
      <c r="I849" s="15">
        <f>YEAR(tblClean[[#This Row],[Date]])</f>
        <v>2022</v>
      </c>
    </row>
    <row r="850" spans="1:9" x14ac:dyDescent="0.25">
      <c r="A850" s="7">
        <v>44882</v>
      </c>
      <c r="B850" s="2" t="s">
        <v>1715</v>
      </c>
      <c r="C850" s="4" t="str">
        <f>TRIM(CLEAN(PROPER(tblClean[[#This Row],[Transaction Description]])))</f>
        <v>Consider Time Economic High.</v>
      </c>
      <c r="D850" s="2" t="s">
        <v>35</v>
      </c>
      <c r="E850" s="3" t="str">
        <f>TRIM(CLEAN(PROPER(tblClean[[#This Row],[Category]])))</f>
        <v>Health &amp; Fitness</v>
      </c>
      <c r="F850" s="11" t="s">
        <v>1716</v>
      </c>
      <c r="G850" s="2" t="s">
        <v>8</v>
      </c>
      <c r="H850" s="15">
        <f>MONTH(tblClean[[#This Row],[Date]])</f>
        <v>11</v>
      </c>
      <c r="I850" s="15">
        <f>YEAR(tblClean[[#This Row],[Date]])</f>
        <v>2022</v>
      </c>
    </row>
    <row r="851" spans="1:9" x14ac:dyDescent="0.25">
      <c r="A851" s="6">
        <v>44882</v>
      </c>
      <c r="B851" s="1" t="s">
        <v>1713</v>
      </c>
      <c r="C851" s="3" t="str">
        <f>TRIM(CLEAN(PROPER(tblClean[[#This Row],[Transaction Description]])))</f>
        <v>Entire Hotel.</v>
      </c>
      <c r="D851" s="1" t="s">
        <v>13</v>
      </c>
      <c r="E851" s="3" t="str">
        <f>TRIM(CLEAN(PROPER(tblClean[[#This Row],[Category]])))</f>
        <v>Rent</v>
      </c>
      <c r="F851" s="10" t="s">
        <v>1714</v>
      </c>
      <c r="G851" s="1" t="s">
        <v>8</v>
      </c>
      <c r="H851" s="15">
        <f>MONTH(tblClean[[#This Row],[Date]])</f>
        <v>11</v>
      </c>
      <c r="I851" s="15">
        <f>YEAR(tblClean[[#This Row],[Date]])</f>
        <v>2022</v>
      </c>
    </row>
    <row r="852" spans="1:9" x14ac:dyDescent="0.25">
      <c r="A852" s="6">
        <v>44883</v>
      </c>
      <c r="B852" s="1" t="s">
        <v>1717</v>
      </c>
      <c r="C852" s="3" t="str">
        <f>TRIM(CLEAN(PROPER(tblClean[[#This Row],[Transaction Description]])))</f>
        <v>Window Research His.</v>
      </c>
      <c r="D852" s="1" t="s">
        <v>22</v>
      </c>
      <c r="E852" s="3" t="str">
        <f>TRIM(CLEAN(PROPER(tblClean[[#This Row],[Category]])))</f>
        <v>Shopping</v>
      </c>
      <c r="F852" s="10" t="s">
        <v>1718</v>
      </c>
      <c r="G852" s="1" t="s">
        <v>8</v>
      </c>
      <c r="H852" s="15">
        <f>MONTH(tblClean[[#This Row],[Date]])</f>
        <v>11</v>
      </c>
      <c r="I852" s="15">
        <f>YEAR(tblClean[[#This Row],[Date]])</f>
        <v>2022</v>
      </c>
    </row>
    <row r="853" spans="1:9" x14ac:dyDescent="0.25">
      <c r="A853" s="7">
        <v>44884</v>
      </c>
      <c r="B853" s="2" t="s">
        <v>1719</v>
      </c>
      <c r="C853" s="4" t="str">
        <f>TRIM(CLEAN(PROPER(tblClean[[#This Row],[Transaction Description]])))</f>
        <v>Scene Almost Leave.</v>
      </c>
      <c r="D853" s="2" t="s">
        <v>30</v>
      </c>
      <c r="E853" s="3" t="str">
        <f>TRIM(CLEAN(PROPER(tblClean[[#This Row],[Category]])))</f>
        <v>Entertainment</v>
      </c>
      <c r="F853" s="11" t="s">
        <v>1720</v>
      </c>
      <c r="G853" s="2" t="s">
        <v>8</v>
      </c>
      <c r="H853" s="15">
        <f>MONTH(tblClean[[#This Row],[Date]])</f>
        <v>11</v>
      </c>
      <c r="I853" s="15">
        <f>YEAR(tblClean[[#This Row],[Date]])</f>
        <v>2022</v>
      </c>
    </row>
    <row r="854" spans="1:9" x14ac:dyDescent="0.25">
      <c r="A854" s="6">
        <v>44886</v>
      </c>
      <c r="B854" s="1" t="s">
        <v>1721</v>
      </c>
      <c r="C854" s="3" t="str">
        <f>TRIM(CLEAN(PROPER(tblClean[[#This Row],[Transaction Description]])))</f>
        <v>Program Decade Home Which View.</v>
      </c>
      <c r="D854" s="1" t="s">
        <v>53</v>
      </c>
      <c r="E854" s="3" t="str">
        <f>TRIM(CLEAN(PROPER(tblClean[[#This Row],[Category]])))</f>
        <v>Travel</v>
      </c>
      <c r="F854" s="10" t="s">
        <v>1722</v>
      </c>
      <c r="G854" s="1" t="s">
        <v>8</v>
      </c>
      <c r="H854" s="15">
        <f>MONTH(tblClean[[#This Row],[Date]])</f>
        <v>11</v>
      </c>
      <c r="I854" s="15">
        <f>YEAR(tblClean[[#This Row],[Date]])</f>
        <v>2022</v>
      </c>
    </row>
    <row r="855" spans="1:9" x14ac:dyDescent="0.25">
      <c r="A855" s="7">
        <v>44887</v>
      </c>
      <c r="B855" s="2" t="s">
        <v>1723</v>
      </c>
      <c r="C855" s="4" t="str">
        <f>TRIM(CLEAN(PROPER(tblClean[[#This Row],[Transaction Description]])))</f>
        <v>Rock Seat Near Business Loss.</v>
      </c>
      <c r="D855" s="2" t="s">
        <v>38</v>
      </c>
      <c r="E855" s="3" t="str">
        <f>TRIM(CLEAN(PROPER(tblClean[[#This Row],[Category]])))</f>
        <v>Salary</v>
      </c>
      <c r="F855" s="11" t="s">
        <v>1724</v>
      </c>
      <c r="G855" s="2" t="s">
        <v>8</v>
      </c>
      <c r="H855" s="15">
        <f>MONTH(tblClean[[#This Row],[Date]])</f>
        <v>11</v>
      </c>
      <c r="I855" s="15">
        <f>YEAR(tblClean[[#This Row],[Date]])</f>
        <v>2022</v>
      </c>
    </row>
    <row r="856" spans="1:9" x14ac:dyDescent="0.25">
      <c r="A856" s="6">
        <v>44891</v>
      </c>
      <c r="B856" s="1" t="s">
        <v>1725</v>
      </c>
      <c r="C856" s="3" t="str">
        <f>TRIM(CLEAN(PROPER(tblClean[[#This Row],[Transaction Description]])))</f>
        <v>Growth Appear Project.</v>
      </c>
      <c r="D856" s="1" t="s">
        <v>6</v>
      </c>
      <c r="E856" s="3" t="str">
        <f>TRIM(CLEAN(PROPER(tblClean[[#This Row],[Category]])))</f>
        <v>Food &amp; Drink</v>
      </c>
      <c r="F856" s="10" t="s">
        <v>1726</v>
      </c>
      <c r="G856" s="1" t="s">
        <v>8</v>
      </c>
      <c r="H856" s="15">
        <f>MONTH(tblClean[[#This Row],[Date]])</f>
        <v>11</v>
      </c>
      <c r="I856" s="15">
        <f>YEAR(tblClean[[#This Row],[Date]])</f>
        <v>2022</v>
      </c>
    </row>
    <row r="857" spans="1:9" x14ac:dyDescent="0.25">
      <c r="A857" s="7">
        <v>44891</v>
      </c>
      <c r="B857" s="2" t="s">
        <v>1727</v>
      </c>
      <c r="C857" s="4" t="str">
        <f>TRIM(CLEAN(PROPER(tblClean[[#This Row],[Transaction Description]])))</f>
        <v>Plan Foot Cold.</v>
      </c>
      <c r="D857" s="2" t="s">
        <v>38</v>
      </c>
      <c r="E857" s="3" t="str">
        <f>TRIM(CLEAN(PROPER(tblClean[[#This Row],[Category]])))</f>
        <v>Salary</v>
      </c>
      <c r="F857" s="11" t="s">
        <v>1728</v>
      </c>
      <c r="G857" s="2" t="s">
        <v>8</v>
      </c>
      <c r="H857" s="15">
        <f>MONTH(tblClean[[#This Row],[Date]])</f>
        <v>11</v>
      </c>
      <c r="I857" s="15">
        <f>YEAR(tblClean[[#This Row],[Date]])</f>
        <v>2022</v>
      </c>
    </row>
    <row r="858" spans="1:9" x14ac:dyDescent="0.25">
      <c r="A858" s="7">
        <v>44893</v>
      </c>
      <c r="B858" s="2" t="s">
        <v>1731</v>
      </c>
      <c r="C858" s="4" t="str">
        <f>TRIM(CLEAN(PROPER(tblClean[[#This Row],[Transaction Description]])))</f>
        <v>Choice Side Eat Matter Rather.</v>
      </c>
      <c r="D858" s="2" t="s">
        <v>27</v>
      </c>
      <c r="E858" s="3" t="str">
        <f>TRIM(CLEAN(PROPER(tblClean[[#This Row],[Category]])))</f>
        <v>Other</v>
      </c>
      <c r="F858" s="11" t="s">
        <v>1732</v>
      </c>
      <c r="G858" s="2" t="s">
        <v>18</v>
      </c>
      <c r="H858" s="15">
        <f>MONTH(tblClean[[#This Row],[Date]])</f>
        <v>11</v>
      </c>
      <c r="I858" s="15">
        <f>YEAR(tblClean[[#This Row],[Date]])</f>
        <v>2022</v>
      </c>
    </row>
    <row r="859" spans="1:9" x14ac:dyDescent="0.25">
      <c r="A859" s="6">
        <v>44893</v>
      </c>
      <c r="B859" s="1" t="s">
        <v>1729</v>
      </c>
      <c r="C859" s="3" t="str">
        <f>TRIM(CLEAN(PROPER(tblClean[[#This Row],[Transaction Description]])))</f>
        <v>Build Smile Across Among Situation.</v>
      </c>
      <c r="D859" s="1" t="s">
        <v>10</v>
      </c>
      <c r="E859" s="3" t="str">
        <f>TRIM(CLEAN(PROPER(tblClean[[#This Row],[Category]])))</f>
        <v>Utilities</v>
      </c>
      <c r="F859" s="10" t="s">
        <v>1730</v>
      </c>
      <c r="G859" s="1" t="s">
        <v>8</v>
      </c>
      <c r="H859" s="15">
        <f>MONTH(tblClean[[#This Row],[Date]])</f>
        <v>11</v>
      </c>
      <c r="I859" s="15">
        <f>YEAR(tblClean[[#This Row],[Date]])</f>
        <v>2022</v>
      </c>
    </row>
    <row r="860" spans="1:9" x14ac:dyDescent="0.25">
      <c r="A860" s="6">
        <v>44896</v>
      </c>
      <c r="B860" s="1" t="s">
        <v>1733</v>
      </c>
      <c r="C860" s="3" t="str">
        <f>TRIM(CLEAN(PROPER(tblClean[[#This Row],[Transaction Description]])))</f>
        <v>Art Green Child Movie Blue.</v>
      </c>
      <c r="D860" s="1" t="s">
        <v>10</v>
      </c>
      <c r="E860" s="3" t="str">
        <f>TRIM(CLEAN(PROPER(tblClean[[#This Row],[Category]])))</f>
        <v>Utilities</v>
      </c>
      <c r="F860" s="10" t="s">
        <v>1734</v>
      </c>
      <c r="G860" s="1" t="s">
        <v>8</v>
      </c>
      <c r="H860" s="15">
        <f>MONTH(tblClean[[#This Row],[Date]])</f>
        <v>12</v>
      </c>
      <c r="I860" s="15">
        <f>YEAR(tblClean[[#This Row],[Date]])</f>
        <v>2022</v>
      </c>
    </row>
    <row r="861" spans="1:9" x14ac:dyDescent="0.25">
      <c r="A861" s="7">
        <v>44898</v>
      </c>
      <c r="B861" s="2" t="s">
        <v>1735</v>
      </c>
      <c r="C861" s="4" t="str">
        <f>TRIM(CLEAN(PROPER(tblClean[[#This Row],[Transaction Description]])))</f>
        <v>First Next Popular.</v>
      </c>
      <c r="D861" s="2" t="s">
        <v>53</v>
      </c>
      <c r="E861" s="3" t="str">
        <f>TRIM(CLEAN(PROPER(tblClean[[#This Row],[Category]])))</f>
        <v>Travel</v>
      </c>
      <c r="F861" s="11" t="s">
        <v>1736</v>
      </c>
      <c r="G861" s="2" t="s">
        <v>8</v>
      </c>
      <c r="H861" s="15">
        <f>MONTH(tblClean[[#This Row],[Date]])</f>
        <v>12</v>
      </c>
      <c r="I861" s="15">
        <f>YEAR(tblClean[[#This Row],[Date]])</f>
        <v>2022</v>
      </c>
    </row>
    <row r="862" spans="1:9" x14ac:dyDescent="0.25">
      <c r="A862" s="6">
        <v>44899</v>
      </c>
      <c r="B862" s="1" t="s">
        <v>1737</v>
      </c>
      <c r="C862" s="3" t="str">
        <f>TRIM(CLEAN(PROPER(tblClean[[#This Row],[Transaction Description]])))</f>
        <v>Run Again Help Right.</v>
      </c>
      <c r="D862" s="1" t="s">
        <v>13</v>
      </c>
      <c r="E862" s="3" t="str">
        <f>TRIM(CLEAN(PROPER(tblClean[[#This Row],[Category]])))</f>
        <v>Rent</v>
      </c>
      <c r="F862" s="10" t="s">
        <v>1738</v>
      </c>
      <c r="G862" s="1" t="s">
        <v>8</v>
      </c>
      <c r="H862" s="15">
        <f>MONTH(tblClean[[#This Row],[Date]])</f>
        <v>12</v>
      </c>
      <c r="I862" s="15">
        <f>YEAR(tblClean[[#This Row],[Date]])</f>
        <v>2022</v>
      </c>
    </row>
    <row r="863" spans="1:9" x14ac:dyDescent="0.25">
      <c r="A863" s="6">
        <v>44900</v>
      </c>
      <c r="B863" s="1" t="s">
        <v>1741</v>
      </c>
      <c r="C863" s="3" t="str">
        <f>TRIM(CLEAN(PROPER(tblClean[[#This Row],[Transaction Description]])))</f>
        <v>Recent Couple Cost Girl Run.</v>
      </c>
      <c r="D863" s="1" t="s">
        <v>30</v>
      </c>
      <c r="E863" s="3" t="str">
        <f>TRIM(CLEAN(PROPER(tblClean[[#This Row],[Category]])))</f>
        <v>Entertainment</v>
      </c>
      <c r="F863" s="10" t="s">
        <v>1742</v>
      </c>
      <c r="G863" s="1" t="s">
        <v>8</v>
      </c>
      <c r="H863" s="15">
        <f>MONTH(tblClean[[#This Row],[Date]])</f>
        <v>12</v>
      </c>
      <c r="I863" s="15">
        <f>YEAR(tblClean[[#This Row],[Date]])</f>
        <v>2022</v>
      </c>
    </row>
    <row r="864" spans="1:9" x14ac:dyDescent="0.25">
      <c r="A864" s="7">
        <v>44900</v>
      </c>
      <c r="B864" s="2" t="s">
        <v>1739</v>
      </c>
      <c r="C864" s="4" t="str">
        <f>TRIM(CLEAN(PROPER(tblClean[[#This Row],[Transaction Description]])))</f>
        <v>Magazine Join.</v>
      </c>
      <c r="D864" s="2" t="s">
        <v>10</v>
      </c>
      <c r="E864" s="3" t="str">
        <f>TRIM(CLEAN(PROPER(tblClean[[#This Row],[Category]])))</f>
        <v>Utilities</v>
      </c>
      <c r="F864" s="11" t="s">
        <v>1740</v>
      </c>
      <c r="G864" s="2" t="s">
        <v>8</v>
      </c>
      <c r="H864" s="15">
        <f>MONTH(tblClean[[#This Row],[Date]])</f>
        <v>12</v>
      </c>
      <c r="I864" s="15">
        <f>YEAR(tblClean[[#This Row],[Date]])</f>
        <v>2022</v>
      </c>
    </row>
    <row r="865" spans="1:9" x14ac:dyDescent="0.25">
      <c r="A865" s="7">
        <v>44902</v>
      </c>
      <c r="B865" s="2" t="s">
        <v>1743</v>
      </c>
      <c r="C865" s="4" t="str">
        <f>TRIM(CLEAN(PROPER(tblClean[[#This Row],[Transaction Description]])))</f>
        <v>Trial Never Attention Choice Fast.</v>
      </c>
      <c r="D865" s="2" t="s">
        <v>16</v>
      </c>
      <c r="E865" s="3" t="str">
        <f>TRIM(CLEAN(PROPER(tblClean[[#This Row],[Category]])))</f>
        <v>Investment</v>
      </c>
      <c r="F865" s="11" t="s">
        <v>1744</v>
      </c>
      <c r="G865" s="2" t="s">
        <v>18</v>
      </c>
      <c r="H865" s="15">
        <f>MONTH(tblClean[[#This Row],[Date]])</f>
        <v>12</v>
      </c>
      <c r="I865" s="15">
        <f>YEAR(tblClean[[#This Row],[Date]])</f>
        <v>2022</v>
      </c>
    </row>
    <row r="866" spans="1:9" x14ac:dyDescent="0.25">
      <c r="A866" s="6">
        <v>44907</v>
      </c>
      <c r="B866" s="1" t="s">
        <v>1745</v>
      </c>
      <c r="C866" s="3" t="str">
        <f>TRIM(CLEAN(PROPER(tblClean[[#This Row],[Transaction Description]])))</f>
        <v>Happen A Point Here Control.</v>
      </c>
      <c r="D866" s="1" t="s">
        <v>13</v>
      </c>
      <c r="E866" s="3" t="str">
        <f>TRIM(CLEAN(PROPER(tblClean[[#This Row],[Category]])))</f>
        <v>Rent</v>
      </c>
      <c r="F866" s="10" t="s">
        <v>1746</v>
      </c>
      <c r="G866" s="1" t="s">
        <v>8</v>
      </c>
      <c r="H866" s="15">
        <f>MONTH(tblClean[[#This Row],[Date]])</f>
        <v>12</v>
      </c>
      <c r="I866" s="15">
        <f>YEAR(tblClean[[#This Row],[Date]])</f>
        <v>2022</v>
      </c>
    </row>
    <row r="867" spans="1:9" x14ac:dyDescent="0.25">
      <c r="A867" s="7">
        <v>44908</v>
      </c>
      <c r="B867" s="2" t="s">
        <v>1747</v>
      </c>
      <c r="C867" s="4" t="str">
        <f>TRIM(CLEAN(PROPER(tblClean[[#This Row],[Transaction Description]])))</f>
        <v>Task Simply Draw Return Probably.</v>
      </c>
      <c r="D867" s="2" t="s">
        <v>38</v>
      </c>
      <c r="E867" s="3" t="str">
        <f>TRIM(CLEAN(PROPER(tblClean[[#This Row],[Category]])))</f>
        <v>Salary</v>
      </c>
      <c r="F867" s="11" t="s">
        <v>1748</v>
      </c>
      <c r="G867" s="2" t="s">
        <v>8</v>
      </c>
      <c r="H867" s="15">
        <f>MONTH(tblClean[[#This Row],[Date]])</f>
        <v>12</v>
      </c>
      <c r="I867" s="15">
        <f>YEAR(tblClean[[#This Row],[Date]])</f>
        <v>2022</v>
      </c>
    </row>
    <row r="868" spans="1:9" x14ac:dyDescent="0.25">
      <c r="A868" s="6">
        <v>44910</v>
      </c>
      <c r="B868" s="1" t="s">
        <v>1749</v>
      </c>
      <c r="C868" s="3" t="str">
        <f>TRIM(CLEAN(PROPER(tblClean[[#This Row],[Transaction Description]])))</f>
        <v>Couple Raise She Child.</v>
      </c>
      <c r="D868" s="1" t="s">
        <v>13</v>
      </c>
      <c r="E868" s="3" t="str">
        <f>TRIM(CLEAN(PROPER(tblClean[[#This Row],[Category]])))</f>
        <v>Rent</v>
      </c>
      <c r="F868" s="10" t="s">
        <v>1750</v>
      </c>
      <c r="G868" s="1" t="s">
        <v>8</v>
      </c>
      <c r="H868" s="15">
        <f>MONTH(tblClean[[#This Row],[Date]])</f>
        <v>12</v>
      </c>
      <c r="I868" s="15">
        <f>YEAR(tblClean[[#This Row],[Date]])</f>
        <v>2022</v>
      </c>
    </row>
    <row r="869" spans="1:9" x14ac:dyDescent="0.25">
      <c r="A869" s="7">
        <v>44911</v>
      </c>
      <c r="B869" s="2" t="s">
        <v>1751</v>
      </c>
      <c r="C869" s="4" t="str">
        <f>TRIM(CLEAN(PROPER(tblClean[[#This Row],[Transaction Description]])))</f>
        <v>Important Focus Benefit Probably.</v>
      </c>
      <c r="D869" s="2" t="s">
        <v>10</v>
      </c>
      <c r="E869" s="3" t="str">
        <f>TRIM(CLEAN(PROPER(tblClean[[#This Row],[Category]])))</f>
        <v>Utilities</v>
      </c>
      <c r="F869" s="11" t="s">
        <v>1752</v>
      </c>
      <c r="G869" s="2" t="s">
        <v>8</v>
      </c>
      <c r="H869" s="15">
        <f>MONTH(tblClean[[#This Row],[Date]])</f>
        <v>12</v>
      </c>
      <c r="I869" s="15">
        <f>YEAR(tblClean[[#This Row],[Date]])</f>
        <v>2022</v>
      </c>
    </row>
    <row r="870" spans="1:9" x14ac:dyDescent="0.25">
      <c r="A870" s="6">
        <v>44913</v>
      </c>
      <c r="B870" s="1" t="s">
        <v>1753</v>
      </c>
      <c r="C870" s="3" t="str">
        <f>TRIM(CLEAN(PROPER(tblClean[[#This Row],[Transaction Description]])))</f>
        <v>Condition All Blood.</v>
      </c>
      <c r="D870" s="1" t="s">
        <v>13</v>
      </c>
      <c r="E870" s="3" t="str">
        <f>TRIM(CLEAN(PROPER(tblClean[[#This Row],[Category]])))</f>
        <v>Rent</v>
      </c>
      <c r="F870" s="10" t="s">
        <v>1754</v>
      </c>
      <c r="G870" s="1" t="s">
        <v>8</v>
      </c>
      <c r="H870" s="15">
        <f>MONTH(tblClean[[#This Row],[Date]])</f>
        <v>12</v>
      </c>
      <c r="I870" s="15">
        <f>YEAR(tblClean[[#This Row],[Date]])</f>
        <v>2022</v>
      </c>
    </row>
    <row r="871" spans="1:9" x14ac:dyDescent="0.25">
      <c r="A871" s="7">
        <v>44917</v>
      </c>
      <c r="B871" s="2" t="s">
        <v>1755</v>
      </c>
      <c r="C871" s="4" t="str">
        <f>TRIM(CLEAN(PROPER(tblClean[[#This Row],[Transaction Description]])))</f>
        <v>All Politics.</v>
      </c>
      <c r="D871" s="2" t="s">
        <v>27</v>
      </c>
      <c r="E871" s="3" t="str">
        <f>TRIM(CLEAN(PROPER(tblClean[[#This Row],[Category]])))</f>
        <v>Other</v>
      </c>
      <c r="F871" s="11" t="s">
        <v>1756</v>
      </c>
      <c r="G871" s="2" t="s">
        <v>18</v>
      </c>
      <c r="H871" s="15">
        <f>MONTH(tblClean[[#This Row],[Date]])</f>
        <v>12</v>
      </c>
      <c r="I871" s="15">
        <f>YEAR(tblClean[[#This Row],[Date]])</f>
        <v>2022</v>
      </c>
    </row>
    <row r="872" spans="1:9" x14ac:dyDescent="0.25">
      <c r="A872" s="6">
        <v>44923</v>
      </c>
      <c r="B872" s="1" t="s">
        <v>1757</v>
      </c>
      <c r="C872" s="3" t="str">
        <f>TRIM(CLEAN(PROPER(tblClean[[#This Row],[Transaction Description]])))</f>
        <v>Moment Red Eight Hand.</v>
      </c>
      <c r="D872" s="1" t="s">
        <v>10</v>
      </c>
      <c r="E872" s="3" t="str">
        <f>TRIM(CLEAN(PROPER(tblClean[[#This Row],[Category]])))</f>
        <v>Utilities</v>
      </c>
      <c r="F872" s="10" t="s">
        <v>1758</v>
      </c>
      <c r="G872" s="1" t="s">
        <v>8</v>
      </c>
      <c r="H872" s="15">
        <f>MONTH(tblClean[[#This Row],[Date]])</f>
        <v>12</v>
      </c>
      <c r="I872" s="15">
        <f>YEAR(tblClean[[#This Row],[Date]])</f>
        <v>2022</v>
      </c>
    </row>
    <row r="873" spans="1:9" x14ac:dyDescent="0.25">
      <c r="A873" s="7">
        <v>44925</v>
      </c>
      <c r="B873" s="2" t="s">
        <v>1759</v>
      </c>
      <c r="C873" s="4" t="str">
        <f>TRIM(CLEAN(PROPER(tblClean[[#This Row],[Transaction Description]])))</f>
        <v>Us Decade.</v>
      </c>
      <c r="D873" s="2" t="s">
        <v>10</v>
      </c>
      <c r="E873" s="3" t="str">
        <f>TRIM(CLEAN(PROPER(tblClean[[#This Row],[Category]])))</f>
        <v>Utilities</v>
      </c>
      <c r="F873" s="11" t="s">
        <v>1760</v>
      </c>
      <c r="G873" s="2" t="s">
        <v>8</v>
      </c>
      <c r="H873" s="15">
        <f>MONTH(tblClean[[#This Row],[Date]])</f>
        <v>12</v>
      </c>
      <c r="I873" s="15">
        <f>YEAR(tblClean[[#This Row],[Date]])</f>
        <v>2022</v>
      </c>
    </row>
    <row r="874" spans="1:9" x14ac:dyDescent="0.25">
      <c r="A874" s="6">
        <v>44926</v>
      </c>
      <c r="B874" s="1" t="s">
        <v>1761</v>
      </c>
      <c r="C874" s="3" t="str">
        <f>TRIM(CLEAN(PROPER(tblClean[[#This Row],[Transaction Description]])))</f>
        <v>Life Police.</v>
      </c>
      <c r="D874" s="1" t="s">
        <v>13</v>
      </c>
      <c r="E874" s="3" t="str">
        <f>TRIM(CLEAN(PROPER(tblClean[[#This Row],[Category]])))</f>
        <v>Rent</v>
      </c>
      <c r="F874" s="10" t="s">
        <v>1762</v>
      </c>
      <c r="G874" s="1" t="s">
        <v>8</v>
      </c>
      <c r="H874" s="15">
        <f>MONTH(tblClean[[#This Row],[Date]])</f>
        <v>12</v>
      </c>
      <c r="I874" s="15">
        <f>YEAR(tblClean[[#This Row],[Date]])</f>
        <v>2022</v>
      </c>
    </row>
    <row r="875" spans="1:9" x14ac:dyDescent="0.25">
      <c r="A875" s="7">
        <v>44929</v>
      </c>
      <c r="B875" s="2" t="s">
        <v>1763</v>
      </c>
      <c r="C875" s="4" t="str">
        <f>TRIM(CLEAN(PROPER(tblClean[[#This Row],[Transaction Description]])))</f>
        <v>Sea Three State Some Around.</v>
      </c>
      <c r="D875" s="2" t="s">
        <v>16</v>
      </c>
      <c r="E875" s="3" t="str">
        <f>TRIM(CLEAN(PROPER(tblClean[[#This Row],[Category]])))</f>
        <v>Investment</v>
      </c>
      <c r="F875" s="11" t="s">
        <v>1764</v>
      </c>
      <c r="G875" s="2" t="s">
        <v>18</v>
      </c>
      <c r="H875" s="15">
        <f>MONTH(tblClean[[#This Row],[Date]])</f>
        <v>1</v>
      </c>
      <c r="I875" s="15">
        <f>YEAR(tblClean[[#This Row],[Date]])</f>
        <v>2023</v>
      </c>
    </row>
    <row r="876" spans="1:9" x14ac:dyDescent="0.25">
      <c r="A876" s="6">
        <v>44930</v>
      </c>
      <c r="B876" s="1" t="s">
        <v>1765</v>
      </c>
      <c r="C876" s="3" t="str">
        <f>TRIM(CLEAN(PROPER(tblClean[[#This Row],[Transaction Description]])))</f>
        <v>American Audience Fight War Whether.</v>
      </c>
      <c r="D876" s="1" t="s">
        <v>30</v>
      </c>
      <c r="E876" s="3" t="str">
        <f>TRIM(CLEAN(PROPER(tblClean[[#This Row],[Category]])))</f>
        <v>Entertainment</v>
      </c>
      <c r="F876" s="10" t="s">
        <v>1766</v>
      </c>
      <c r="G876" s="1" t="s">
        <v>8</v>
      </c>
      <c r="H876" s="15">
        <f>MONTH(tblClean[[#This Row],[Date]])</f>
        <v>1</v>
      </c>
      <c r="I876" s="15">
        <f>YEAR(tblClean[[#This Row],[Date]])</f>
        <v>2023</v>
      </c>
    </row>
    <row r="877" spans="1:9" x14ac:dyDescent="0.25">
      <c r="A877" s="7">
        <v>44930</v>
      </c>
      <c r="B877" s="2" t="s">
        <v>1767</v>
      </c>
      <c r="C877" s="4" t="str">
        <f>TRIM(CLEAN(PROPER(tblClean[[#This Row],[Transaction Description]])))</f>
        <v>Rise Mother.</v>
      </c>
      <c r="D877" s="2" t="s">
        <v>27</v>
      </c>
      <c r="E877" s="3" t="str">
        <f>TRIM(CLEAN(PROPER(tblClean[[#This Row],[Category]])))</f>
        <v>Other</v>
      </c>
      <c r="F877" s="11" t="s">
        <v>1768</v>
      </c>
      <c r="G877" s="2" t="s">
        <v>18</v>
      </c>
      <c r="H877" s="15">
        <f>MONTH(tblClean[[#This Row],[Date]])</f>
        <v>1</v>
      </c>
      <c r="I877" s="15">
        <f>YEAR(tblClean[[#This Row],[Date]])</f>
        <v>2023</v>
      </c>
    </row>
    <row r="878" spans="1:9" x14ac:dyDescent="0.25">
      <c r="A878" s="6">
        <v>44932</v>
      </c>
      <c r="B878" s="1" t="s">
        <v>1769</v>
      </c>
      <c r="C878" s="3" t="str">
        <f>TRIM(CLEAN(PROPER(tblClean[[#This Row],[Transaction Description]])))</f>
        <v>Moment Eat Personal.</v>
      </c>
      <c r="D878" s="1" t="s">
        <v>13</v>
      </c>
      <c r="E878" s="3" t="str">
        <f>TRIM(CLEAN(PROPER(tblClean[[#This Row],[Category]])))</f>
        <v>Rent</v>
      </c>
      <c r="F878" s="10" t="s">
        <v>1770</v>
      </c>
      <c r="G878" s="1" t="s">
        <v>8</v>
      </c>
      <c r="H878" s="15">
        <f>MONTH(tblClean[[#This Row],[Date]])</f>
        <v>1</v>
      </c>
      <c r="I878" s="15">
        <f>YEAR(tblClean[[#This Row],[Date]])</f>
        <v>2023</v>
      </c>
    </row>
    <row r="879" spans="1:9" x14ac:dyDescent="0.25">
      <c r="A879" s="7">
        <v>44935</v>
      </c>
      <c r="B879" s="2" t="s">
        <v>1771</v>
      </c>
      <c r="C879" s="4" t="str">
        <f>TRIM(CLEAN(PROPER(tblClean[[#This Row],[Transaction Description]])))</f>
        <v>See Indeed Black Police Group.</v>
      </c>
      <c r="D879" s="2" t="s">
        <v>16</v>
      </c>
      <c r="E879" s="3" t="str">
        <f>TRIM(CLEAN(PROPER(tblClean[[#This Row],[Category]])))</f>
        <v>Investment</v>
      </c>
      <c r="F879" s="11" t="s">
        <v>1772</v>
      </c>
      <c r="G879" s="2" t="s">
        <v>18</v>
      </c>
      <c r="H879" s="15">
        <f>MONTH(tblClean[[#This Row],[Date]])</f>
        <v>1</v>
      </c>
      <c r="I879" s="15">
        <f>YEAR(tblClean[[#This Row],[Date]])</f>
        <v>2023</v>
      </c>
    </row>
    <row r="880" spans="1:9" x14ac:dyDescent="0.25">
      <c r="A880" s="6">
        <v>44936</v>
      </c>
      <c r="B880" s="1" t="s">
        <v>1773</v>
      </c>
      <c r="C880" s="3" t="str">
        <f>TRIM(CLEAN(PROPER(tblClean[[#This Row],[Transaction Description]])))</f>
        <v>Third Coach Congress Husband.</v>
      </c>
      <c r="D880" s="1" t="s">
        <v>22</v>
      </c>
      <c r="E880" s="3" t="str">
        <f>TRIM(CLEAN(PROPER(tblClean[[#This Row],[Category]])))</f>
        <v>Shopping</v>
      </c>
      <c r="F880" s="10" t="s">
        <v>1774</v>
      </c>
      <c r="G880" s="1" t="s">
        <v>8</v>
      </c>
      <c r="H880" s="15">
        <f>MONTH(tblClean[[#This Row],[Date]])</f>
        <v>1</v>
      </c>
      <c r="I880" s="15">
        <f>YEAR(tblClean[[#This Row],[Date]])</f>
        <v>2023</v>
      </c>
    </row>
    <row r="881" spans="1:9" x14ac:dyDescent="0.25">
      <c r="A881" s="7">
        <v>44937</v>
      </c>
      <c r="B881" s="2" t="s">
        <v>1775</v>
      </c>
      <c r="C881" s="4" t="str">
        <f>TRIM(CLEAN(PROPER(tblClean[[#This Row],[Transaction Description]])))</f>
        <v>Move Outside Value.</v>
      </c>
      <c r="D881" s="2" t="s">
        <v>27</v>
      </c>
      <c r="E881" s="3" t="str">
        <f>TRIM(CLEAN(PROPER(tblClean[[#This Row],[Category]])))</f>
        <v>Other</v>
      </c>
      <c r="F881" s="11" t="s">
        <v>1776</v>
      </c>
      <c r="G881" s="2" t="s">
        <v>18</v>
      </c>
      <c r="H881" s="15">
        <f>MONTH(tblClean[[#This Row],[Date]])</f>
        <v>1</v>
      </c>
      <c r="I881" s="15">
        <f>YEAR(tblClean[[#This Row],[Date]])</f>
        <v>2023</v>
      </c>
    </row>
    <row r="882" spans="1:9" x14ac:dyDescent="0.25">
      <c r="A882" s="6">
        <v>44939</v>
      </c>
      <c r="B882" s="1" t="s">
        <v>1777</v>
      </c>
      <c r="C882" s="3" t="str">
        <f>TRIM(CLEAN(PROPER(tblClean[[#This Row],[Transaction Description]])))</f>
        <v>Yard Foot He Share Issue.</v>
      </c>
      <c r="D882" s="1" t="s">
        <v>53</v>
      </c>
      <c r="E882" s="3" t="str">
        <f>TRIM(CLEAN(PROPER(tblClean[[#This Row],[Category]])))</f>
        <v>Travel</v>
      </c>
      <c r="F882" s="10" t="s">
        <v>1778</v>
      </c>
      <c r="G882" s="1" t="s">
        <v>8</v>
      </c>
      <c r="H882" s="15">
        <f>MONTH(tblClean[[#This Row],[Date]])</f>
        <v>1</v>
      </c>
      <c r="I882" s="15">
        <f>YEAR(tblClean[[#This Row],[Date]])</f>
        <v>2023</v>
      </c>
    </row>
    <row r="883" spans="1:9" x14ac:dyDescent="0.25">
      <c r="A883" s="7">
        <v>44941</v>
      </c>
      <c r="B883" s="2" t="s">
        <v>1779</v>
      </c>
      <c r="C883" s="4" t="str">
        <f>TRIM(CLEAN(PROPER(tblClean[[#This Row],[Transaction Description]])))</f>
        <v>Drive Nation Heart Nearly Season.</v>
      </c>
      <c r="D883" s="2" t="s">
        <v>53</v>
      </c>
      <c r="E883" s="3" t="str">
        <f>TRIM(CLEAN(PROPER(tblClean[[#This Row],[Category]])))</f>
        <v>Travel</v>
      </c>
      <c r="F883" s="11" t="s">
        <v>1780</v>
      </c>
      <c r="G883" s="2" t="s">
        <v>8</v>
      </c>
      <c r="H883" s="15">
        <f>MONTH(tblClean[[#This Row],[Date]])</f>
        <v>1</v>
      </c>
      <c r="I883" s="15">
        <f>YEAR(tblClean[[#This Row],[Date]])</f>
        <v>2023</v>
      </c>
    </row>
    <row r="884" spans="1:9" x14ac:dyDescent="0.25">
      <c r="A884" s="6">
        <v>44942</v>
      </c>
      <c r="B884" s="1" t="s">
        <v>1781</v>
      </c>
      <c r="C884" s="3" t="str">
        <f>TRIM(CLEAN(PROPER(tblClean[[#This Row],[Transaction Description]])))</f>
        <v>Language However Risk Work.</v>
      </c>
      <c r="D884" s="1" t="s">
        <v>30</v>
      </c>
      <c r="E884" s="3" t="str">
        <f>TRIM(CLEAN(PROPER(tblClean[[#This Row],[Category]])))</f>
        <v>Entertainment</v>
      </c>
      <c r="F884" s="10" t="s">
        <v>1782</v>
      </c>
      <c r="G884" s="1" t="s">
        <v>8</v>
      </c>
      <c r="H884" s="15">
        <f>MONTH(tblClean[[#This Row],[Date]])</f>
        <v>1</v>
      </c>
      <c r="I884" s="15">
        <f>YEAR(tblClean[[#This Row],[Date]])</f>
        <v>2023</v>
      </c>
    </row>
    <row r="885" spans="1:9" x14ac:dyDescent="0.25">
      <c r="A885" s="7">
        <v>44943</v>
      </c>
      <c r="B885" s="2" t="s">
        <v>1783</v>
      </c>
      <c r="C885" s="4" t="str">
        <f>TRIM(CLEAN(PROPER(tblClean[[#This Row],[Transaction Description]])))</f>
        <v>Career Three According Worker Democrat.</v>
      </c>
      <c r="D885" s="2" t="s">
        <v>6</v>
      </c>
      <c r="E885" s="3" t="str">
        <f>TRIM(CLEAN(PROPER(tblClean[[#This Row],[Category]])))</f>
        <v>Food &amp; Drink</v>
      </c>
      <c r="F885" s="11" t="s">
        <v>1784</v>
      </c>
      <c r="G885" s="2" t="s">
        <v>8</v>
      </c>
      <c r="H885" s="15">
        <f>MONTH(tblClean[[#This Row],[Date]])</f>
        <v>1</v>
      </c>
      <c r="I885" s="15">
        <f>YEAR(tblClean[[#This Row],[Date]])</f>
        <v>2023</v>
      </c>
    </row>
    <row r="886" spans="1:9" x14ac:dyDescent="0.25">
      <c r="A886" s="6">
        <v>44944</v>
      </c>
      <c r="B886" s="1" t="s">
        <v>1785</v>
      </c>
      <c r="C886" s="3" t="str">
        <f>TRIM(CLEAN(PROPER(tblClean[[#This Row],[Transaction Description]])))</f>
        <v>Sign Wall.</v>
      </c>
      <c r="D886" s="1" t="s">
        <v>30</v>
      </c>
      <c r="E886" s="3" t="str">
        <f>TRIM(CLEAN(PROPER(tblClean[[#This Row],[Category]])))</f>
        <v>Entertainment</v>
      </c>
      <c r="F886" s="10" t="s">
        <v>1786</v>
      </c>
      <c r="G886" s="1" t="s">
        <v>8</v>
      </c>
      <c r="H886" s="15">
        <f>MONTH(tblClean[[#This Row],[Date]])</f>
        <v>1</v>
      </c>
      <c r="I886" s="15">
        <f>YEAR(tblClean[[#This Row],[Date]])</f>
        <v>2023</v>
      </c>
    </row>
    <row r="887" spans="1:9" x14ac:dyDescent="0.25">
      <c r="A887" s="6">
        <v>44945</v>
      </c>
      <c r="B887" s="1" t="s">
        <v>1789</v>
      </c>
      <c r="C887" s="3" t="str">
        <f>TRIM(CLEAN(PROPER(tblClean[[#This Row],[Transaction Description]])))</f>
        <v>Enter Threat Economic.</v>
      </c>
      <c r="D887" s="1" t="s">
        <v>6</v>
      </c>
      <c r="E887" s="3" t="str">
        <f>TRIM(CLEAN(PROPER(tblClean[[#This Row],[Category]])))</f>
        <v>Food &amp; Drink</v>
      </c>
      <c r="F887" s="10" t="s">
        <v>1790</v>
      </c>
      <c r="G887" s="1" t="s">
        <v>8</v>
      </c>
      <c r="H887" s="15">
        <f>MONTH(tblClean[[#This Row],[Date]])</f>
        <v>1</v>
      </c>
      <c r="I887" s="15">
        <f>YEAR(tblClean[[#This Row],[Date]])</f>
        <v>2023</v>
      </c>
    </row>
    <row r="888" spans="1:9" x14ac:dyDescent="0.25">
      <c r="A888" s="7">
        <v>44945</v>
      </c>
      <c r="B888" s="2" t="s">
        <v>1787</v>
      </c>
      <c r="C888" s="4" t="str">
        <f>TRIM(CLEAN(PROPER(tblClean[[#This Row],[Transaction Description]])))</f>
        <v>Memory Number Occur Behind Leave.</v>
      </c>
      <c r="D888" s="2" t="s">
        <v>27</v>
      </c>
      <c r="E888" s="3" t="str">
        <f>TRIM(CLEAN(PROPER(tblClean[[#This Row],[Category]])))</f>
        <v>Other</v>
      </c>
      <c r="F888" s="11" t="s">
        <v>1788</v>
      </c>
      <c r="G888" s="2" t="s">
        <v>18</v>
      </c>
      <c r="H888" s="15">
        <f>MONTH(tblClean[[#This Row],[Date]])</f>
        <v>1</v>
      </c>
      <c r="I888" s="15">
        <f>YEAR(tblClean[[#This Row],[Date]])</f>
        <v>2023</v>
      </c>
    </row>
    <row r="889" spans="1:9" x14ac:dyDescent="0.25">
      <c r="A889" s="7">
        <v>44945</v>
      </c>
      <c r="B889" s="2" t="s">
        <v>1795</v>
      </c>
      <c r="C889" s="4" t="str">
        <f>TRIM(CLEAN(PROPER(tblClean[[#This Row],[Transaction Description]])))</f>
        <v>Organization Feel.</v>
      </c>
      <c r="D889" s="2" t="s">
        <v>38</v>
      </c>
      <c r="E889" s="3" t="str">
        <f>TRIM(CLEAN(PROPER(tblClean[[#This Row],[Category]])))</f>
        <v>Salary</v>
      </c>
      <c r="F889" s="11" t="s">
        <v>1796</v>
      </c>
      <c r="G889" s="2" t="s">
        <v>8</v>
      </c>
      <c r="H889" s="15">
        <f>MONTH(tblClean[[#This Row],[Date]])</f>
        <v>1</v>
      </c>
      <c r="I889" s="15">
        <f>YEAR(tblClean[[#This Row],[Date]])</f>
        <v>2023</v>
      </c>
    </row>
    <row r="890" spans="1:9" x14ac:dyDescent="0.25">
      <c r="A890" s="6">
        <v>44945</v>
      </c>
      <c r="B890" s="1" t="s">
        <v>1793</v>
      </c>
      <c r="C890" s="3" t="str">
        <f>TRIM(CLEAN(PROPER(tblClean[[#This Row],[Transaction Description]])))</f>
        <v>Society Common Stay Ready.</v>
      </c>
      <c r="D890" s="1" t="s">
        <v>22</v>
      </c>
      <c r="E890" s="3" t="str">
        <f>TRIM(CLEAN(PROPER(tblClean[[#This Row],[Category]])))</f>
        <v>Shopping</v>
      </c>
      <c r="F890" s="10" t="s">
        <v>1794</v>
      </c>
      <c r="G890" s="1" t="s">
        <v>8</v>
      </c>
      <c r="H890" s="15">
        <f>MONTH(tblClean[[#This Row],[Date]])</f>
        <v>1</v>
      </c>
      <c r="I890" s="15">
        <f>YEAR(tblClean[[#This Row],[Date]])</f>
        <v>2023</v>
      </c>
    </row>
    <row r="891" spans="1:9" x14ac:dyDescent="0.25">
      <c r="A891" s="7">
        <v>44945</v>
      </c>
      <c r="B891" s="2" t="s">
        <v>1791</v>
      </c>
      <c r="C891" s="4" t="str">
        <f>TRIM(CLEAN(PROPER(tblClean[[#This Row],[Transaction Description]])))</f>
        <v>Begin Hundred Truth.</v>
      </c>
      <c r="D891" s="2" t="s">
        <v>10</v>
      </c>
      <c r="E891" s="3" t="str">
        <f>TRIM(CLEAN(PROPER(tblClean[[#This Row],[Category]])))</f>
        <v>Utilities</v>
      </c>
      <c r="F891" s="11" t="s">
        <v>1792</v>
      </c>
      <c r="G891" s="2" t="s">
        <v>8</v>
      </c>
      <c r="H891" s="15">
        <f>MONTH(tblClean[[#This Row],[Date]])</f>
        <v>1</v>
      </c>
      <c r="I891" s="15">
        <f>YEAR(tblClean[[#This Row],[Date]])</f>
        <v>2023</v>
      </c>
    </row>
    <row r="892" spans="1:9" x14ac:dyDescent="0.25">
      <c r="A892" s="6">
        <v>44946</v>
      </c>
      <c r="B892" s="1" t="s">
        <v>1797</v>
      </c>
      <c r="C892" s="3" t="str">
        <f>TRIM(CLEAN(PROPER(tblClean[[#This Row],[Transaction Description]])))</f>
        <v>Bad Argue Side Girl.</v>
      </c>
      <c r="D892" s="1" t="s">
        <v>6</v>
      </c>
      <c r="E892" s="3" t="str">
        <f>TRIM(CLEAN(PROPER(tblClean[[#This Row],[Category]])))</f>
        <v>Food &amp; Drink</v>
      </c>
      <c r="F892" s="10" t="s">
        <v>1798</v>
      </c>
      <c r="G892" s="1" t="s">
        <v>8</v>
      </c>
      <c r="H892" s="15">
        <f>MONTH(tblClean[[#This Row],[Date]])</f>
        <v>1</v>
      </c>
      <c r="I892" s="15">
        <f>YEAR(tblClean[[#This Row],[Date]])</f>
        <v>2023</v>
      </c>
    </row>
    <row r="893" spans="1:9" x14ac:dyDescent="0.25">
      <c r="A893" s="7">
        <v>44947</v>
      </c>
      <c r="B893" s="2" t="s">
        <v>1799</v>
      </c>
      <c r="C893" s="4" t="str">
        <f>TRIM(CLEAN(PROPER(tblClean[[#This Row],[Transaction Description]])))</f>
        <v>Us Building Side Section.</v>
      </c>
      <c r="D893" s="2" t="s">
        <v>16</v>
      </c>
      <c r="E893" s="3" t="str">
        <f>TRIM(CLEAN(PROPER(tblClean[[#This Row],[Category]])))</f>
        <v>Investment</v>
      </c>
      <c r="F893" s="11" t="s">
        <v>226</v>
      </c>
      <c r="G893" s="2" t="s">
        <v>18</v>
      </c>
      <c r="H893" s="15">
        <f>MONTH(tblClean[[#This Row],[Date]])</f>
        <v>1</v>
      </c>
      <c r="I893" s="15">
        <f>YEAR(tblClean[[#This Row],[Date]])</f>
        <v>2023</v>
      </c>
    </row>
    <row r="894" spans="1:9" x14ac:dyDescent="0.25">
      <c r="A894" s="6">
        <v>44947</v>
      </c>
      <c r="B894" s="1" t="s">
        <v>1800</v>
      </c>
      <c r="C894" s="3" t="str">
        <f>TRIM(CLEAN(PROPER(tblClean[[#This Row],[Transaction Description]])))</f>
        <v>Him Fight American Music Change.</v>
      </c>
      <c r="D894" s="1" t="s">
        <v>22</v>
      </c>
      <c r="E894" s="3" t="str">
        <f>TRIM(CLEAN(PROPER(tblClean[[#This Row],[Category]])))</f>
        <v>Shopping</v>
      </c>
      <c r="F894" s="10" t="s">
        <v>1801</v>
      </c>
      <c r="G894" s="1" t="s">
        <v>8</v>
      </c>
      <c r="H894" s="15">
        <f>MONTH(tblClean[[#This Row],[Date]])</f>
        <v>1</v>
      </c>
      <c r="I894" s="15">
        <f>YEAR(tblClean[[#This Row],[Date]])</f>
        <v>2023</v>
      </c>
    </row>
    <row r="895" spans="1:9" x14ac:dyDescent="0.25">
      <c r="A895" s="7">
        <v>44948</v>
      </c>
      <c r="B895" s="2" t="s">
        <v>1802</v>
      </c>
      <c r="C895" s="4" t="str">
        <f>TRIM(CLEAN(PROPER(tblClean[[#This Row],[Transaction Description]])))</f>
        <v>Check Purpose Young.</v>
      </c>
      <c r="D895" s="2" t="s">
        <v>22</v>
      </c>
      <c r="E895" s="3" t="str">
        <f>TRIM(CLEAN(PROPER(tblClean[[#This Row],[Category]])))</f>
        <v>Shopping</v>
      </c>
      <c r="F895" s="11" t="s">
        <v>1803</v>
      </c>
      <c r="G895" s="2" t="s">
        <v>8</v>
      </c>
      <c r="H895" s="15">
        <f>MONTH(tblClean[[#This Row],[Date]])</f>
        <v>1</v>
      </c>
      <c r="I895" s="15">
        <f>YEAR(tblClean[[#This Row],[Date]])</f>
        <v>2023</v>
      </c>
    </row>
    <row r="896" spans="1:9" x14ac:dyDescent="0.25">
      <c r="A896" s="7">
        <v>44949</v>
      </c>
      <c r="B896" s="2" t="s">
        <v>1806</v>
      </c>
      <c r="C896" s="4" t="str">
        <f>TRIM(CLEAN(PROPER(tblClean[[#This Row],[Transaction Description]])))</f>
        <v>Live Seat.</v>
      </c>
      <c r="D896" s="2" t="s">
        <v>30</v>
      </c>
      <c r="E896" s="3" t="str">
        <f>TRIM(CLEAN(PROPER(tblClean[[#This Row],[Category]])))</f>
        <v>Entertainment</v>
      </c>
      <c r="F896" s="11" t="s">
        <v>1807</v>
      </c>
      <c r="G896" s="2" t="s">
        <v>8</v>
      </c>
      <c r="H896" s="15">
        <f>MONTH(tblClean[[#This Row],[Date]])</f>
        <v>1</v>
      </c>
      <c r="I896" s="15">
        <f>YEAR(tblClean[[#This Row],[Date]])</f>
        <v>2023</v>
      </c>
    </row>
    <row r="897" spans="1:9" x14ac:dyDescent="0.25">
      <c r="A897" s="6">
        <v>44949</v>
      </c>
      <c r="B897" s="1" t="s">
        <v>1808</v>
      </c>
      <c r="C897" s="3" t="str">
        <f>TRIM(CLEAN(PROPER(tblClean[[#This Row],[Transaction Description]])))</f>
        <v>Energy Huge Its Recently.</v>
      </c>
      <c r="D897" s="1" t="s">
        <v>27</v>
      </c>
      <c r="E897" s="3" t="str">
        <f>TRIM(CLEAN(PROPER(tblClean[[#This Row],[Category]])))</f>
        <v>Other</v>
      </c>
      <c r="F897" s="10" t="s">
        <v>1809</v>
      </c>
      <c r="G897" s="1" t="s">
        <v>18</v>
      </c>
      <c r="H897" s="15">
        <f>MONTH(tblClean[[#This Row],[Date]])</f>
        <v>1</v>
      </c>
      <c r="I897" s="15">
        <f>YEAR(tblClean[[#This Row],[Date]])</f>
        <v>2023</v>
      </c>
    </row>
    <row r="898" spans="1:9" x14ac:dyDescent="0.25">
      <c r="A898" s="6">
        <v>44949</v>
      </c>
      <c r="B898" s="1" t="s">
        <v>1804</v>
      </c>
      <c r="C898" s="3" t="str">
        <f>TRIM(CLEAN(PROPER(tblClean[[#This Row],[Transaction Description]])))</f>
        <v>Offer Bed It Skill Challenge.</v>
      </c>
      <c r="D898" s="1" t="s">
        <v>10</v>
      </c>
      <c r="E898" s="3" t="str">
        <f>TRIM(CLEAN(PROPER(tblClean[[#This Row],[Category]])))</f>
        <v>Utilities</v>
      </c>
      <c r="F898" s="10" t="s">
        <v>1805</v>
      </c>
      <c r="G898" s="1" t="s">
        <v>8</v>
      </c>
      <c r="H898" s="15">
        <f>MONTH(tblClean[[#This Row],[Date]])</f>
        <v>1</v>
      </c>
      <c r="I898" s="15">
        <f>YEAR(tblClean[[#This Row],[Date]])</f>
        <v>2023</v>
      </c>
    </row>
    <row r="899" spans="1:9" x14ac:dyDescent="0.25">
      <c r="A899" s="6">
        <v>44950</v>
      </c>
      <c r="B899" s="1" t="s">
        <v>1812</v>
      </c>
      <c r="C899" s="3" t="str">
        <f>TRIM(CLEAN(PROPER(tblClean[[#This Row],[Transaction Description]])))</f>
        <v>Drug Entire Involve.</v>
      </c>
      <c r="D899" s="1" t="s">
        <v>30</v>
      </c>
      <c r="E899" s="3" t="str">
        <f>TRIM(CLEAN(PROPER(tblClean[[#This Row],[Category]])))</f>
        <v>Entertainment</v>
      </c>
      <c r="F899" s="10" t="s">
        <v>1813</v>
      </c>
      <c r="G899" s="1" t="s">
        <v>8</v>
      </c>
      <c r="H899" s="15">
        <f>MONTH(tblClean[[#This Row],[Date]])</f>
        <v>1</v>
      </c>
      <c r="I899" s="15">
        <f>YEAR(tblClean[[#This Row],[Date]])</f>
        <v>2023</v>
      </c>
    </row>
    <row r="900" spans="1:9" x14ac:dyDescent="0.25">
      <c r="A900" s="6">
        <v>44950</v>
      </c>
      <c r="B900" s="1" t="s">
        <v>1816</v>
      </c>
      <c r="C900" s="3" t="str">
        <f>TRIM(CLEAN(PROPER(tblClean[[#This Row],[Transaction Description]])))</f>
        <v>Couple General Pretty Show.</v>
      </c>
      <c r="D900" s="1" t="s">
        <v>6</v>
      </c>
      <c r="E900" s="3" t="str">
        <f>TRIM(CLEAN(PROPER(tblClean[[#This Row],[Category]])))</f>
        <v>Food &amp; Drink</v>
      </c>
      <c r="F900" s="10" t="s">
        <v>1817</v>
      </c>
      <c r="G900" s="1" t="s">
        <v>8</v>
      </c>
      <c r="H900" s="15">
        <f>MONTH(tblClean[[#This Row],[Date]])</f>
        <v>1</v>
      </c>
      <c r="I900" s="15">
        <f>YEAR(tblClean[[#This Row],[Date]])</f>
        <v>2023</v>
      </c>
    </row>
    <row r="901" spans="1:9" x14ac:dyDescent="0.25">
      <c r="A901" s="6">
        <v>44950</v>
      </c>
      <c r="B901" s="1" t="s">
        <v>1820</v>
      </c>
      <c r="C901" s="3" t="str">
        <f>TRIM(CLEAN(PROPER(tblClean[[#This Row],[Transaction Description]])))</f>
        <v>Current Health Serious.</v>
      </c>
      <c r="D901" s="1" t="s">
        <v>6</v>
      </c>
      <c r="E901" s="3" t="str">
        <f>TRIM(CLEAN(PROPER(tblClean[[#This Row],[Category]])))</f>
        <v>Food &amp; Drink</v>
      </c>
      <c r="F901" s="10" t="s">
        <v>1821</v>
      </c>
      <c r="G901" s="1" t="s">
        <v>8</v>
      </c>
      <c r="H901" s="15">
        <f>MONTH(tblClean[[#This Row],[Date]])</f>
        <v>1</v>
      </c>
      <c r="I901" s="15">
        <f>YEAR(tblClean[[#This Row],[Date]])</f>
        <v>2023</v>
      </c>
    </row>
    <row r="902" spans="1:9" x14ac:dyDescent="0.25">
      <c r="A902" s="7">
        <v>44950</v>
      </c>
      <c r="B902" s="2" t="s">
        <v>1814</v>
      </c>
      <c r="C902" s="4" t="str">
        <f>TRIM(CLEAN(PROPER(tblClean[[#This Row],[Transaction Description]])))</f>
        <v>Both Including.</v>
      </c>
      <c r="D902" s="2" t="s">
        <v>27</v>
      </c>
      <c r="E902" s="3" t="str">
        <f>TRIM(CLEAN(PROPER(tblClean[[#This Row],[Category]])))</f>
        <v>Other</v>
      </c>
      <c r="F902" s="11" t="s">
        <v>1815</v>
      </c>
      <c r="G902" s="2" t="s">
        <v>18</v>
      </c>
      <c r="H902" s="15">
        <f>MONTH(tblClean[[#This Row],[Date]])</f>
        <v>1</v>
      </c>
      <c r="I902" s="15">
        <f>YEAR(tblClean[[#This Row],[Date]])</f>
        <v>2023</v>
      </c>
    </row>
    <row r="903" spans="1:9" x14ac:dyDescent="0.25">
      <c r="A903" s="7">
        <v>44950</v>
      </c>
      <c r="B903" s="2" t="s">
        <v>1810</v>
      </c>
      <c r="C903" s="4" t="str">
        <f>TRIM(CLEAN(PROPER(tblClean[[#This Row],[Transaction Description]])))</f>
        <v>Nice Maintain Present Cultural.</v>
      </c>
      <c r="D903" s="2" t="s">
        <v>13</v>
      </c>
      <c r="E903" s="3" t="str">
        <f>TRIM(CLEAN(PROPER(tblClean[[#This Row],[Category]])))</f>
        <v>Rent</v>
      </c>
      <c r="F903" s="11" t="s">
        <v>1811</v>
      </c>
      <c r="G903" s="2" t="s">
        <v>8</v>
      </c>
      <c r="H903" s="15">
        <f>MONTH(tblClean[[#This Row],[Date]])</f>
        <v>1</v>
      </c>
      <c r="I903" s="15">
        <f>YEAR(tblClean[[#This Row],[Date]])</f>
        <v>2023</v>
      </c>
    </row>
    <row r="904" spans="1:9" x14ac:dyDescent="0.25">
      <c r="A904" s="7">
        <v>44950</v>
      </c>
      <c r="B904" s="2" t="s">
        <v>1818</v>
      </c>
      <c r="C904" s="4" t="str">
        <f>TRIM(CLEAN(PROPER(tblClean[[#This Row],[Transaction Description]])))</f>
        <v>Pattern Wrong Kind Certainly.</v>
      </c>
      <c r="D904" s="2" t="s">
        <v>10</v>
      </c>
      <c r="E904" s="3" t="str">
        <f>TRIM(CLEAN(PROPER(tblClean[[#This Row],[Category]])))</f>
        <v>Utilities</v>
      </c>
      <c r="F904" s="11" t="s">
        <v>1819</v>
      </c>
      <c r="G904" s="2" t="s">
        <v>8</v>
      </c>
      <c r="H904" s="15">
        <f>MONTH(tblClean[[#This Row],[Date]])</f>
        <v>1</v>
      </c>
      <c r="I904" s="15">
        <f>YEAR(tblClean[[#This Row],[Date]])</f>
        <v>2023</v>
      </c>
    </row>
    <row r="905" spans="1:9" x14ac:dyDescent="0.25">
      <c r="A905" s="7">
        <v>44951</v>
      </c>
      <c r="B905" s="2" t="s">
        <v>1822</v>
      </c>
      <c r="C905" s="4" t="str">
        <f>TRIM(CLEAN(PROPER(tblClean[[#This Row],[Transaction Description]])))</f>
        <v>Science Drug.</v>
      </c>
      <c r="D905" s="2" t="s">
        <v>53</v>
      </c>
      <c r="E905" s="3" t="str">
        <f>TRIM(CLEAN(PROPER(tblClean[[#This Row],[Category]])))</f>
        <v>Travel</v>
      </c>
      <c r="F905" s="11" t="s">
        <v>1823</v>
      </c>
      <c r="G905" s="2" t="s">
        <v>8</v>
      </c>
      <c r="H905" s="15">
        <f>MONTH(tblClean[[#This Row],[Date]])</f>
        <v>1</v>
      </c>
      <c r="I905" s="15">
        <f>YEAR(tblClean[[#This Row],[Date]])</f>
        <v>2023</v>
      </c>
    </row>
    <row r="906" spans="1:9" x14ac:dyDescent="0.25">
      <c r="A906" s="6">
        <v>44952</v>
      </c>
      <c r="B906" s="1" t="s">
        <v>1824</v>
      </c>
      <c r="C906" s="3" t="str">
        <f>TRIM(CLEAN(PROPER(tblClean[[#This Row],[Transaction Description]])))</f>
        <v>Add Really Born.</v>
      </c>
      <c r="D906" s="1" t="s">
        <v>27</v>
      </c>
      <c r="E906" s="3" t="str">
        <f>TRIM(CLEAN(PROPER(tblClean[[#This Row],[Category]])))</f>
        <v>Other</v>
      </c>
      <c r="F906" s="10" t="s">
        <v>1825</v>
      </c>
      <c r="G906" s="1" t="s">
        <v>18</v>
      </c>
      <c r="H906" s="15">
        <f>MONTH(tblClean[[#This Row],[Date]])</f>
        <v>1</v>
      </c>
      <c r="I906" s="15">
        <f>YEAR(tblClean[[#This Row],[Date]])</f>
        <v>2023</v>
      </c>
    </row>
    <row r="907" spans="1:9" x14ac:dyDescent="0.25">
      <c r="A907" s="7">
        <v>44953</v>
      </c>
      <c r="B907" s="2" t="s">
        <v>1826</v>
      </c>
      <c r="C907" s="4" t="str">
        <f>TRIM(CLEAN(PROPER(tblClean[[#This Row],[Transaction Description]])))</f>
        <v>Age Decade Mrs Data.</v>
      </c>
      <c r="D907" s="2" t="s">
        <v>6</v>
      </c>
      <c r="E907" s="3" t="str">
        <f>TRIM(CLEAN(PROPER(tblClean[[#This Row],[Category]])))</f>
        <v>Food &amp; Drink</v>
      </c>
      <c r="F907" s="11" t="s">
        <v>1827</v>
      </c>
      <c r="G907" s="2" t="s">
        <v>8</v>
      </c>
      <c r="H907" s="15">
        <f>MONTH(tblClean[[#This Row],[Date]])</f>
        <v>1</v>
      </c>
      <c r="I907" s="15">
        <f>YEAR(tblClean[[#This Row],[Date]])</f>
        <v>2023</v>
      </c>
    </row>
    <row r="908" spans="1:9" x14ac:dyDescent="0.25">
      <c r="A908" s="6">
        <v>44953</v>
      </c>
      <c r="B908" s="1" t="s">
        <v>1828</v>
      </c>
      <c r="C908" s="3" t="str">
        <f>TRIM(CLEAN(PROPER(tblClean[[#This Row],[Transaction Description]])))</f>
        <v>Nature Performance Yeah.</v>
      </c>
      <c r="D908" s="1" t="s">
        <v>13</v>
      </c>
      <c r="E908" s="3" t="str">
        <f>TRIM(CLEAN(PROPER(tblClean[[#This Row],[Category]])))</f>
        <v>Rent</v>
      </c>
      <c r="F908" s="10" t="s">
        <v>1829</v>
      </c>
      <c r="G908" s="1" t="s">
        <v>8</v>
      </c>
      <c r="H908" s="15">
        <f>MONTH(tblClean[[#This Row],[Date]])</f>
        <v>1</v>
      </c>
      <c r="I908" s="15">
        <f>YEAR(tblClean[[#This Row],[Date]])</f>
        <v>2023</v>
      </c>
    </row>
    <row r="909" spans="1:9" x14ac:dyDescent="0.25">
      <c r="A909" s="7">
        <v>44954</v>
      </c>
      <c r="B909" s="2" t="s">
        <v>1830</v>
      </c>
      <c r="C909" s="4" t="str">
        <f>TRIM(CLEAN(PROPER(tblClean[[#This Row],[Transaction Description]])))</f>
        <v>On Professional Analysis Color.</v>
      </c>
      <c r="D909" s="2" t="s">
        <v>13</v>
      </c>
      <c r="E909" s="3" t="str">
        <f>TRIM(CLEAN(PROPER(tblClean[[#This Row],[Category]])))</f>
        <v>Rent</v>
      </c>
      <c r="F909" s="11" t="s">
        <v>1831</v>
      </c>
      <c r="G909" s="2" t="s">
        <v>8</v>
      </c>
      <c r="H909" s="15">
        <f>MONTH(tblClean[[#This Row],[Date]])</f>
        <v>1</v>
      </c>
      <c r="I909" s="15">
        <f>YEAR(tblClean[[#This Row],[Date]])</f>
        <v>2023</v>
      </c>
    </row>
    <row r="910" spans="1:9" x14ac:dyDescent="0.25">
      <c r="A910" s="6">
        <v>44955</v>
      </c>
      <c r="B910" s="1" t="s">
        <v>1832</v>
      </c>
      <c r="C910" s="3" t="str">
        <f>TRIM(CLEAN(PROPER(tblClean[[#This Row],[Transaction Description]])))</f>
        <v>Smile Peace Apply.</v>
      </c>
      <c r="D910" s="1" t="s">
        <v>6</v>
      </c>
      <c r="E910" s="3" t="str">
        <f>TRIM(CLEAN(PROPER(tblClean[[#This Row],[Category]])))</f>
        <v>Food &amp; Drink</v>
      </c>
      <c r="F910" s="10" t="s">
        <v>1833</v>
      </c>
      <c r="G910" s="1" t="s">
        <v>8</v>
      </c>
      <c r="H910" s="15">
        <f>MONTH(tblClean[[#This Row],[Date]])</f>
        <v>1</v>
      </c>
      <c r="I910" s="15">
        <f>YEAR(tblClean[[#This Row],[Date]])</f>
        <v>2023</v>
      </c>
    </row>
    <row r="911" spans="1:9" x14ac:dyDescent="0.25">
      <c r="A911" s="7">
        <v>44955</v>
      </c>
      <c r="B911" s="2" t="s">
        <v>1834</v>
      </c>
      <c r="C911" s="4" t="str">
        <f>TRIM(CLEAN(PROPER(tblClean[[#This Row],[Transaction Description]])))</f>
        <v>Home Even.</v>
      </c>
      <c r="D911" s="2" t="s">
        <v>35</v>
      </c>
      <c r="E911" s="3" t="str">
        <f>TRIM(CLEAN(PROPER(tblClean[[#This Row],[Category]])))</f>
        <v>Health &amp; Fitness</v>
      </c>
      <c r="F911" s="11" t="s">
        <v>1835</v>
      </c>
      <c r="G911" s="2" t="s">
        <v>8</v>
      </c>
      <c r="H911" s="15">
        <f>MONTH(tblClean[[#This Row],[Date]])</f>
        <v>1</v>
      </c>
      <c r="I911" s="15">
        <f>YEAR(tblClean[[#This Row],[Date]])</f>
        <v>2023</v>
      </c>
    </row>
    <row r="912" spans="1:9" x14ac:dyDescent="0.25">
      <c r="A912" s="6">
        <v>44956</v>
      </c>
      <c r="B912" s="1" t="s">
        <v>1836</v>
      </c>
      <c r="C912" s="3" t="str">
        <f>TRIM(CLEAN(PROPER(tblClean[[#This Row],[Transaction Description]])))</f>
        <v>Affect Test.</v>
      </c>
      <c r="D912" s="1" t="s">
        <v>13</v>
      </c>
      <c r="E912" s="3" t="str">
        <f>TRIM(CLEAN(PROPER(tblClean[[#This Row],[Category]])))</f>
        <v>Rent</v>
      </c>
      <c r="F912" s="10" t="s">
        <v>1837</v>
      </c>
      <c r="G912" s="1" t="s">
        <v>8</v>
      </c>
      <c r="H912" s="15">
        <f>MONTH(tblClean[[#This Row],[Date]])</f>
        <v>1</v>
      </c>
      <c r="I912" s="15">
        <f>YEAR(tblClean[[#This Row],[Date]])</f>
        <v>2023</v>
      </c>
    </row>
    <row r="913" spans="1:9" x14ac:dyDescent="0.25">
      <c r="A913" s="7">
        <v>44957</v>
      </c>
      <c r="B913" s="2" t="s">
        <v>1838</v>
      </c>
      <c r="C913" s="4" t="str">
        <f>TRIM(CLEAN(PROPER(tblClean[[#This Row],[Transaction Description]])))</f>
        <v>Woman Meet Report.</v>
      </c>
      <c r="D913" s="2" t="s">
        <v>6</v>
      </c>
      <c r="E913" s="3" t="str">
        <f>TRIM(CLEAN(PROPER(tblClean[[#This Row],[Category]])))</f>
        <v>Food &amp; Drink</v>
      </c>
      <c r="F913" s="11" t="s">
        <v>1839</v>
      </c>
      <c r="G913" s="2" t="s">
        <v>8</v>
      </c>
      <c r="H913" s="15">
        <f>MONTH(tblClean[[#This Row],[Date]])</f>
        <v>1</v>
      </c>
      <c r="I913" s="15">
        <f>YEAR(tblClean[[#This Row],[Date]])</f>
        <v>2023</v>
      </c>
    </row>
    <row r="914" spans="1:9" x14ac:dyDescent="0.25">
      <c r="A914" s="6">
        <v>44957</v>
      </c>
      <c r="B914" s="1" t="s">
        <v>1840</v>
      </c>
      <c r="C914" s="3" t="str">
        <f>TRIM(CLEAN(PROPER(tblClean[[#This Row],[Transaction Description]])))</f>
        <v>Term Mother Cost May.</v>
      </c>
      <c r="D914" s="1" t="s">
        <v>16</v>
      </c>
      <c r="E914" s="3" t="str">
        <f>TRIM(CLEAN(PROPER(tblClean[[#This Row],[Category]])))</f>
        <v>Investment</v>
      </c>
      <c r="F914" s="10" t="s">
        <v>1841</v>
      </c>
      <c r="G914" s="1" t="s">
        <v>18</v>
      </c>
      <c r="H914" s="15">
        <f>MONTH(tblClean[[#This Row],[Date]])</f>
        <v>1</v>
      </c>
      <c r="I914" s="15">
        <f>YEAR(tblClean[[#This Row],[Date]])</f>
        <v>2023</v>
      </c>
    </row>
    <row r="915" spans="1:9" x14ac:dyDescent="0.25">
      <c r="A915" s="7">
        <v>44958</v>
      </c>
      <c r="B915" s="2" t="s">
        <v>1842</v>
      </c>
      <c r="C915" s="4" t="str">
        <f>TRIM(CLEAN(PROPER(tblClean[[#This Row],[Transaction Description]])))</f>
        <v>Unit Again Easy Morning Four.</v>
      </c>
      <c r="D915" s="2" t="s">
        <v>10</v>
      </c>
      <c r="E915" s="3" t="str">
        <f>TRIM(CLEAN(PROPER(tblClean[[#This Row],[Category]])))</f>
        <v>Utilities</v>
      </c>
      <c r="F915" s="11" t="s">
        <v>1843</v>
      </c>
      <c r="G915" s="2" t="s">
        <v>8</v>
      </c>
      <c r="H915" s="15">
        <f>MONTH(tblClean[[#This Row],[Date]])</f>
        <v>2</v>
      </c>
      <c r="I915" s="15">
        <f>YEAR(tblClean[[#This Row],[Date]])</f>
        <v>2023</v>
      </c>
    </row>
    <row r="916" spans="1:9" x14ac:dyDescent="0.25">
      <c r="A916" s="6">
        <v>44959</v>
      </c>
      <c r="B916" s="1" t="s">
        <v>1844</v>
      </c>
      <c r="C916" s="3" t="str">
        <f>TRIM(CLEAN(PROPER(tblClean[[#This Row],[Transaction Description]])))</f>
        <v>Adult Range Green.</v>
      </c>
      <c r="D916" s="1" t="s">
        <v>6</v>
      </c>
      <c r="E916" s="3" t="str">
        <f>TRIM(CLEAN(PROPER(tblClean[[#This Row],[Category]])))</f>
        <v>Food &amp; Drink</v>
      </c>
      <c r="F916" s="10" t="s">
        <v>1845</v>
      </c>
      <c r="G916" s="1" t="s">
        <v>8</v>
      </c>
      <c r="H916" s="15">
        <f>MONTH(tblClean[[#This Row],[Date]])</f>
        <v>2</v>
      </c>
      <c r="I916" s="15">
        <f>YEAR(tblClean[[#This Row],[Date]])</f>
        <v>2023</v>
      </c>
    </row>
    <row r="917" spans="1:9" x14ac:dyDescent="0.25">
      <c r="A917" s="7">
        <v>44960</v>
      </c>
      <c r="B917" s="2" t="s">
        <v>1846</v>
      </c>
      <c r="C917" s="4" t="str">
        <f>TRIM(CLEAN(PROPER(tblClean[[#This Row],[Transaction Description]])))</f>
        <v>You Without Every.</v>
      </c>
      <c r="D917" s="2" t="s">
        <v>22</v>
      </c>
      <c r="E917" s="3" t="str">
        <f>TRIM(CLEAN(PROPER(tblClean[[#This Row],[Category]])))</f>
        <v>Shopping</v>
      </c>
      <c r="F917" s="11" t="s">
        <v>1847</v>
      </c>
      <c r="G917" s="2" t="s">
        <v>8</v>
      </c>
      <c r="H917" s="15">
        <f>MONTH(tblClean[[#This Row],[Date]])</f>
        <v>2</v>
      </c>
      <c r="I917" s="15">
        <f>YEAR(tblClean[[#This Row],[Date]])</f>
        <v>2023</v>
      </c>
    </row>
    <row r="918" spans="1:9" x14ac:dyDescent="0.25">
      <c r="A918" s="6">
        <v>44963</v>
      </c>
      <c r="B918" s="1" t="s">
        <v>1848</v>
      </c>
      <c r="C918" s="3" t="str">
        <f>TRIM(CLEAN(PROPER(tblClean[[#This Row],[Transaction Description]])))</f>
        <v>Election Hit Yourself Wrong Want.</v>
      </c>
      <c r="D918" s="1" t="s">
        <v>35</v>
      </c>
      <c r="E918" s="3" t="str">
        <f>TRIM(CLEAN(PROPER(tblClean[[#This Row],[Category]])))</f>
        <v>Health &amp; Fitness</v>
      </c>
      <c r="F918" s="10" t="s">
        <v>1849</v>
      </c>
      <c r="G918" s="1" t="s">
        <v>8</v>
      </c>
      <c r="H918" s="15">
        <f>MONTH(tblClean[[#This Row],[Date]])</f>
        <v>2</v>
      </c>
      <c r="I918" s="15">
        <f>YEAR(tblClean[[#This Row],[Date]])</f>
        <v>2023</v>
      </c>
    </row>
    <row r="919" spans="1:9" x14ac:dyDescent="0.25">
      <c r="A919" s="6">
        <v>44964</v>
      </c>
      <c r="B919" s="1" t="s">
        <v>1852</v>
      </c>
      <c r="C919" s="3" t="str">
        <f>TRIM(CLEAN(PROPER(tblClean[[#This Row],[Transaction Description]])))</f>
        <v>Minute Question Their Rather.</v>
      </c>
      <c r="D919" s="1" t="s">
        <v>6</v>
      </c>
      <c r="E919" s="3" t="str">
        <f>TRIM(CLEAN(PROPER(tblClean[[#This Row],[Category]])))</f>
        <v>Food &amp; Drink</v>
      </c>
      <c r="F919" s="10" t="s">
        <v>1853</v>
      </c>
      <c r="G919" s="1" t="s">
        <v>8</v>
      </c>
      <c r="H919" s="15">
        <f>MONTH(tblClean[[#This Row],[Date]])</f>
        <v>2</v>
      </c>
      <c r="I919" s="15">
        <f>YEAR(tblClean[[#This Row],[Date]])</f>
        <v>2023</v>
      </c>
    </row>
    <row r="920" spans="1:9" x14ac:dyDescent="0.25">
      <c r="A920" s="7">
        <v>44964</v>
      </c>
      <c r="B920" s="2" t="s">
        <v>1850</v>
      </c>
      <c r="C920" s="4" t="str">
        <f>TRIM(CLEAN(PROPER(tblClean[[#This Row],[Transaction Description]])))</f>
        <v>Charge Today Prevent.</v>
      </c>
      <c r="D920" s="2" t="s">
        <v>27</v>
      </c>
      <c r="E920" s="3" t="str">
        <f>TRIM(CLEAN(PROPER(tblClean[[#This Row],[Category]])))</f>
        <v>Other</v>
      </c>
      <c r="F920" s="11" t="s">
        <v>1851</v>
      </c>
      <c r="G920" s="2" t="s">
        <v>18</v>
      </c>
      <c r="H920" s="15">
        <f>MONTH(tblClean[[#This Row],[Date]])</f>
        <v>2</v>
      </c>
      <c r="I920" s="15">
        <f>YEAR(tblClean[[#This Row],[Date]])</f>
        <v>2023</v>
      </c>
    </row>
    <row r="921" spans="1:9" x14ac:dyDescent="0.25">
      <c r="A921" s="7">
        <v>44965</v>
      </c>
      <c r="B921" s="2" t="s">
        <v>1854</v>
      </c>
      <c r="C921" s="4" t="str">
        <f>TRIM(CLEAN(PROPER(tblClean[[#This Row],[Transaction Description]])))</f>
        <v>Of Interview Fine.</v>
      </c>
      <c r="D921" s="2" t="s">
        <v>6</v>
      </c>
      <c r="E921" s="3" t="str">
        <f>TRIM(CLEAN(PROPER(tblClean[[#This Row],[Category]])))</f>
        <v>Food &amp; Drink</v>
      </c>
      <c r="F921" s="11" t="s">
        <v>1855</v>
      </c>
      <c r="G921" s="2" t="s">
        <v>8</v>
      </c>
      <c r="H921" s="15">
        <f>MONTH(tblClean[[#This Row],[Date]])</f>
        <v>2</v>
      </c>
      <c r="I921" s="15">
        <f>YEAR(tblClean[[#This Row],[Date]])</f>
        <v>2023</v>
      </c>
    </row>
    <row r="922" spans="1:9" x14ac:dyDescent="0.25">
      <c r="A922" s="6">
        <v>44965</v>
      </c>
      <c r="B922" s="1" t="s">
        <v>1856</v>
      </c>
      <c r="C922" s="3" t="str">
        <f>TRIM(CLEAN(PROPER(tblClean[[#This Row],[Transaction Description]])))</f>
        <v>My Deal Catch Must.</v>
      </c>
      <c r="D922" s="1" t="s">
        <v>27</v>
      </c>
      <c r="E922" s="3" t="str">
        <f>TRIM(CLEAN(PROPER(tblClean[[#This Row],[Category]])))</f>
        <v>Other</v>
      </c>
      <c r="F922" s="10" t="s">
        <v>1857</v>
      </c>
      <c r="G922" s="1" t="s">
        <v>18</v>
      </c>
      <c r="H922" s="15">
        <f>MONTH(tblClean[[#This Row],[Date]])</f>
        <v>2</v>
      </c>
      <c r="I922" s="15">
        <f>YEAR(tblClean[[#This Row],[Date]])</f>
        <v>2023</v>
      </c>
    </row>
    <row r="923" spans="1:9" x14ac:dyDescent="0.25">
      <c r="A923" s="7">
        <v>44966</v>
      </c>
      <c r="B923" s="2" t="s">
        <v>1858</v>
      </c>
      <c r="C923" s="4" t="str">
        <f>TRIM(CLEAN(PROPER(tblClean[[#This Row],[Transaction Description]])))</f>
        <v>Finally Relate Model.</v>
      </c>
      <c r="D923" s="2" t="s">
        <v>53</v>
      </c>
      <c r="E923" s="3" t="str">
        <f>TRIM(CLEAN(PROPER(tblClean[[#This Row],[Category]])))</f>
        <v>Travel</v>
      </c>
      <c r="F923" s="11" t="s">
        <v>1859</v>
      </c>
      <c r="G923" s="2" t="s">
        <v>8</v>
      </c>
      <c r="H923" s="15">
        <f>MONTH(tblClean[[#This Row],[Date]])</f>
        <v>2</v>
      </c>
      <c r="I923" s="15">
        <f>YEAR(tblClean[[#This Row],[Date]])</f>
        <v>2023</v>
      </c>
    </row>
    <row r="924" spans="1:9" x14ac:dyDescent="0.25">
      <c r="A924" s="6">
        <v>44969</v>
      </c>
      <c r="B924" s="1" t="s">
        <v>1860</v>
      </c>
      <c r="C924" s="3" t="str">
        <f>TRIM(CLEAN(PROPER(tblClean[[#This Row],[Transaction Description]])))</f>
        <v>Yet Wish Certain Usually.</v>
      </c>
      <c r="D924" s="1" t="s">
        <v>6</v>
      </c>
      <c r="E924" s="3" t="str">
        <f>TRIM(CLEAN(PROPER(tblClean[[#This Row],[Category]])))</f>
        <v>Food &amp; Drink</v>
      </c>
      <c r="F924" s="10" t="s">
        <v>1861</v>
      </c>
      <c r="G924" s="1" t="s">
        <v>8</v>
      </c>
      <c r="H924" s="15">
        <f>MONTH(tblClean[[#This Row],[Date]])</f>
        <v>2</v>
      </c>
      <c r="I924" s="15">
        <f>YEAR(tblClean[[#This Row],[Date]])</f>
        <v>2023</v>
      </c>
    </row>
    <row r="925" spans="1:9" x14ac:dyDescent="0.25">
      <c r="A925" s="7">
        <v>44970</v>
      </c>
      <c r="B925" s="2" t="s">
        <v>1862</v>
      </c>
      <c r="C925" s="4" t="str">
        <f>TRIM(CLEAN(PROPER(tblClean[[#This Row],[Transaction Description]])))</f>
        <v>Attack Mouth Rest Contain.</v>
      </c>
      <c r="D925" s="2" t="s">
        <v>53</v>
      </c>
      <c r="E925" s="3" t="str">
        <f>TRIM(CLEAN(PROPER(tblClean[[#This Row],[Category]])))</f>
        <v>Travel</v>
      </c>
      <c r="F925" s="11" t="s">
        <v>1863</v>
      </c>
      <c r="G925" s="2" t="s">
        <v>8</v>
      </c>
      <c r="H925" s="15">
        <f>MONTH(tblClean[[#This Row],[Date]])</f>
        <v>2</v>
      </c>
      <c r="I925" s="15">
        <f>YEAR(tblClean[[#This Row],[Date]])</f>
        <v>2023</v>
      </c>
    </row>
    <row r="926" spans="1:9" x14ac:dyDescent="0.25">
      <c r="A926" s="6">
        <v>44972</v>
      </c>
      <c r="B926" s="1" t="s">
        <v>1864</v>
      </c>
      <c r="C926" s="3" t="str">
        <f>TRIM(CLEAN(PROPER(tblClean[[#This Row],[Transaction Description]])))</f>
        <v>She They.</v>
      </c>
      <c r="D926" s="1" t="s">
        <v>35</v>
      </c>
      <c r="E926" s="3" t="str">
        <f>TRIM(CLEAN(PROPER(tblClean[[#This Row],[Category]])))</f>
        <v>Health &amp; Fitness</v>
      </c>
      <c r="F926" s="10" t="s">
        <v>1865</v>
      </c>
      <c r="G926" s="1" t="s">
        <v>8</v>
      </c>
      <c r="H926" s="15">
        <f>MONTH(tblClean[[#This Row],[Date]])</f>
        <v>2</v>
      </c>
      <c r="I926" s="15">
        <f>YEAR(tblClean[[#This Row],[Date]])</f>
        <v>2023</v>
      </c>
    </row>
    <row r="927" spans="1:9" x14ac:dyDescent="0.25">
      <c r="A927" s="7">
        <v>44973</v>
      </c>
      <c r="B927" s="2" t="s">
        <v>1866</v>
      </c>
      <c r="C927" s="4" t="str">
        <f>TRIM(CLEAN(PROPER(tblClean[[#This Row],[Transaction Description]])))</f>
        <v>Field Seat Start Pm.</v>
      </c>
      <c r="D927" s="2" t="s">
        <v>30</v>
      </c>
      <c r="E927" s="3" t="str">
        <f>TRIM(CLEAN(PROPER(tblClean[[#This Row],[Category]])))</f>
        <v>Entertainment</v>
      </c>
      <c r="F927" s="11" t="s">
        <v>1867</v>
      </c>
      <c r="G927" s="2" t="s">
        <v>8</v>
      </c>
      <c r="H927" s="15">
        <f>MONTH(tblClean[[#This Row],[Date]])</f>
        <v>2</v>
      </c>
      <c r="I927" s="15">
        <f>YEAR(tblClean[[#This Row],[Date]])</f>
        <v>2023</v>
      </c>
    </row>
    <row r="928" spans="1:9" x14ac:dyDescent="0.25">
      <c r="A928" s="6">
        <v>44975</v>
      </c>
      <c r="B928" s="1" t="s">
        <v>1868</v>
      </c>
      <c r="C928" s="3" t="str">
        <f>TRIM(CLEAN(PROPER(tblClean[[#This Row],[Transaction Description]])))</f>
        <v>Single Blood Continue.</v>
      </c>
      <c r="D928" s="1" t="s">
        <v>30</v>
      </c>
      <c r="E928" s="3" t="str">
        <f>TRIM(CLEAN(PROPER(tblClean[[#This Row],[Category]])))</f>
        <v>Entertainment</v>
      </c>
      <c r="F928" s="10" t="s">
        <v>1869</v>
      </c>
      <c r="G928" s="1" t="s">
        <v>8</v>
      </c>
      <c r="H928" s="15">
        <f>MONTH(tblClean[[#This Row],[Date]])</f>
        <v>2</v>
      </c>
      <c r="I928" s="15">
        <f>YEAR(tblClean[[#This Row],[Date]])</f>
        <v>2023</v>
      </c>
    </row>
    <row r="929" spans="1:9" x14ac:dyDescent="0.25">
      <c r="A929" s="7">
        <v>44977</v>
      </c>
      <c r="B929" s="2" t="s">
        <v>1870</v>
      </c>
      <c r="C929" s="4" t="str">
        <f>TRIM(CLEAN(PROPER(tblClean[[#This Row],[Transaction Description]])))</f>
        <v>Note Discuss Discussion Reach Grow.</v>
      </c>
      <c r="D929" s="2" t="s">
        <v>6</v>
      </c>
      <c r="E929" s="3" t="str">
        <f>TRIM(CLEAN(PROPER(tblClean[[#This Row],[Category]])))</f>
        <v>Food &amp; Drink</v>
      </c>
      <c r="F929" s="11" t="s">
        <v>1871</v>
      </c>
      <c r="G929" s="2" t="s">
        <v>8</v>
      </c>
      <c r="H929" s="15">
        <f>MONTH(tblClean[[#This Row],[Date]])</f>
        <v>2</v>
      </c>
      <c r="I929" s="15">
        <f>YEAR(tblClean[[#This Row],[Date]])</f>
        <v>2023</v>
      </c>
    </row>
    <row r="930" spans="1:9" x14ac:dyDescent="0.25">
      <c r="A930" s="6">
        <v>44977</v>
      </c>
      <c r="B930" s="1" t="s">
        <v>1872</v>
      </c>
      <c r="C930" s="3" t="str">
        <f>TRIM(CLEAN(PROPER(tblClean[[#This Row],[Transaction Description]])))</f>
        <v>Maybe Painting Republican.</v>
      </c>
      <c r="D930" s="1" t="s">
        <v>6</v>
      </c>
      <c r="E930" s="3" t="str">
        <f>TRIM(CLEAN(PROPER(tblClean[[#This Row],[Category]])))</f>
        <v>Food &amp; Drink</v>
      </c>
      <c r="F930" s="10" t="s">
        <v>1873</v>
      </c>
      <c r="G930" s="1" t="s">
        <v>8</v>
      </c>
      <c r="H930" s="15">
        <f>MONTH(tblClean[[#This Row],[Date]])</f>
        <v>2</v>
      </c>
      <c r="I930" s="15">
        <f>YEAR(tblClean[[#This Row],[Date]])</f>
        <v>2023</v>
      </c>
    </row>
    <row r="931" spans="1:9" x14ac:dyDescent="0.25">
      <c r="A931" s="6">
        <v>44979</v>
      </c>
      <c r="B931" s="1" t="s">
        <v>1876</v>
      </c>
      <c r="C931" s="3" t="str">
        <f>TRIM(CLEAN(PROPER(tblClean[[#This Row],[Transaction Description]])))</f>
        <v>Allow Share Address.</v>
      </c>
      <c r="D931" s="1" t="s">
        <v>16</v>
      </c>
      <c r="E931" s="3" t="str">
        <f>TRIM(CLEAN(PROPER(tblClean[[#This Row],[Category]])))</f>
        <v>Investment</v>
      </c>
      <c r="F931" s="10" t="s">
        <v>1877</v>
      </c>
      <c r="G931" s="1" t="s">
        <v>18</v>
      </c>
      <c r="H931" s="15">
        <f>MONTH(tblClean[[#This Row],[Date]])</f>
        <v>2</v>
      </c>
      <c r="I931" s="15">
        <f>YEAR(tblClean[[#This Row],[Date]])</f>
        <v>2023</v>
      </c>
    </row>
    <row r="932" spans="1:9" x14ac:dyDescent="0.25">
      <c r="A932" s="7">
        <v>44979</v>
      </c>
      <c r="B932" s="2" t="s">
        <v>1874</v>
      </c>
      <c r="C932" s="4" t="str">
        <f>TRIM(CLEAN(PROPER(tblClean[[#This Row],[Transaction Description]])))</f>
        <v>System Man Case.</v>
      </c>
      <c r="D932" s="2" t="s">
        <v>27</v>
      </c>
      <c r="E932" s="3" t="str">
        <f>TRIM(CLEAN(PROPER(tblClean[[#This Row],[Category]])))</f>
        <v>Other</v>
      </c>
      <c r="F932" s="11" t="s">
        <v>1875</v>
      </c>
      <c r="G932" s="2" t="s">
        <v>18</v>
      </c>
      <c r="H932" s="15">
        <f>MONTH(tblClean[[#This Row],[Date]])</f>
        <v>2</v>
      </c>
      <c r="I932" s="15">
        <f>YEAR(tblClean[[#This Row],[Date]])</f>
        <v>2023</v>
      </c>
    </row>
    <row r="933" spans="1:9" x14ac:dyDescent="0.25">
      <c r="A933" s="7">
        <v>44981</v>
      </c>
      <c r="B933" s="2" t="s">
        <v>1878</v>
      </c>
      <c r="C933" s="4" t="str">
        <f>TRIM(CLEAN(PROPER(tblClean[[#This Row],[Transaction Description]])))</f>
        <v>Development Provide Dark Daughter.</v>
      </c>
      <c r="D933" s="2" t="s">
        <v>6</v>
      </c>
      <c r="E933" s="3" t="str">
        <f>TRIM(CLEAN(PROPER(tblClean[[#This Row],[Category]])))</f>
        <v>Food &amp; Drink</v>
      </c>
      <c r="F933" s="11" t="s">
        <v>1879</v>
      </c>
      <c r="G933" s="2" t="s">
        <v>8</v>
      </c>
      <c r="H933" s="15">
        <f>MONTH(tblClean[[#This Row],[Date]])</f>
        <v>2</v>
      </c>
      <c r="I933" s="15">
        <f>YEAR(tblClean[[#This Row],[Date]])</f>
        <v>2023</v>
      </c>
    </row>
    <row r="934" spans="1:9" x14ac:dyDescent="0.25">
      <c r="A934" s="6">
        <v>44983</v>
      </c>
      <c r="B934" s="1" t="s">
        <v>1884</v>
      </c>
      <c r="C934" s="3" t="str">
        <f>TRIM(CLEAN(PROPER(tblClean[[#This Row],[Transaction Description]])))</f>
        <v>Particularly Score Order Modern.</v>
      </c>
      <c r="D934" s="1" t="s">
        <v>35</v>
      </c>
      <c r="E934" s="3" t="str">
        <f>TRIM(CLEAN(PROPER(tblClean[[#This Row],[Category]])))</f>
        <v>Health &amp; Fitness</v>
      </c>
      <c r="F934" s="10" t="s">
        <v>1885</v>
      </c>
      <c r="G934" s="1" t="s">
        <v>8</v>
      </c>
      <c r="H934" s="15">
        <f>MONTH(tblClean[[#This Row],[Date]])</f>
        <v>2</v>
      </c>
      <c r="I934" s="15">
        <f>YEAR(tblClean[[#This Row],[Date]])</f>
        <v>2023</v>
      </c>
    </row>
    <row r="935" spans="1:9" x14ac:dyDescent="0.25">
      <c r="A935" s="7">
        <v>44983</v>
      </c>
      <c r="B935" s="2" t="s">
        <v>1882</v>
      </c>
      <c r="C935" s="4" t="str">
        <f>TRIM(CLEAN(PROPER(tblClean[[#This Row],[Transaction Description]])))</f>
        <v>If Among Save Herself.</v>
      </c>
      <c r="D935" s="2" t="s">
        <v>16</v>
      </c>
      <c r="E935" s="3" t="str">
        <f>TRIM(CLEAN(PROPER(tblClean[[#This Row],[Category]])))</f>
        <v>Investment</v>
      </c>
      <c r="F935" s="11" t="s">
        <v>1883</v>
      </c>
      <c r="G935" s="2" t="s">
        <v>18</v>
      </c>
      <c r="H935" s="15">
        <f>MONTH(tblClean[[#This Row],[Date]])</f>
        <v>2</v>
      </c>
      <c r="I935" s="15">
        <f>YEAR(tblClean[[#This Row],[Date]])</f>
        <v>2023</v>
      </c>
    </row>
    <row r="936" spans="1:9" x14ac:dyDescent="0.25">
      <c r="A936" s="6">
        <v>44983</v>
      </c>
      <c r="B936" s="1" t="s">
        <v>1880</v>
      </c>
      <c r="C936" s="3" t="str">
        <f>TRIM(CLEAN(PROPER(tblClean[[#This Row],[Transaction Description]])))</f>
        <v>Term Majority Foot Leader.</v>
      </c>
      <c r="D936" s="1" t="s">
        <v>27</v>
      </c>
      <c r="E936" s="3" t="str">
        <f>TRIM(CLEAN(PROPER(tblClean[[#This Row],[Category]])))</f>
        <v>Other</v>
      </c>
      <c r="F936" s="10" t="s">
        <v>1881</v>
      </c>
      <c r="G936" s="1" t="s">
        <v>18</v>
      </c>
      <c r="H936" s="15">
        <f>MONTH(tblClean[[#This Row],[Date]])</f>
        <v>2</v>
      </c>
      <c r="I936" s="15">
        <f>YEAR(tblClean[[#This Row],[Date]])</f>
        <v>2023</v>
      </c>
    </row>
    <row r="937" spans="1:9" x14ac:dyDescent="0.25">
      <c r="A937" s="7">
        <v>44985</v>
      </c>
      <c r="B937" s="2" t="s">
        <v>1886</v>
      </c>
      <c r="C937" s="4" t="str">
        <f>TRIM(CLEAN(PROPER(tblClean[[#This Row],[Transaction Description]])))</f>
        <v>Body Lead There There Early.</v>
      </c>
      <c r="D937" s="2" t="s">
        <v>13</v>
      </c>
      <c r="E937" s="3" t="str">
        <f>TRIM(CLEAN(PROPER(tblClean[[#This Row],[Category]])))</f>
        <v>Rent</v>
      </c>
      <c r="F937" s="11" t="s">
        <v>1887</v>
      </c>
      <c r="G937" s="2" t="s">
        <v>8</v>
      </c>
      <c r="H937" s="15">
        <f>MONTH(tblClean[[#This Row],[Date]])</f>
        <v>2</v>
      </c>
      <c r="I937" s="15">
        <f>YEAR(tblClean[[#This Row],[Date]])</f>
        <v>2023</v>
      </c>
    </row>
    <row r="938" spans="1:9" x14ac:dyDescent="0.25">
      <c r="A938" s="6">
        <v>44988</v>
      </c>
      <c r="B938" s="1" t="s">
        <v>1888</v>
      </c>
      <c r="C938" s="3" t="str">
        <f>TRIM(CLEAN(PROPER(tblClean[[#This Row],[Transaction Description]])))</f>
        <v>Worker Always Hold Share.</v>
      </c>
      <c r="D938" s="1" t="s">
        <v>22</v>
      </c>
      <c r="E938" s="3" t="str">
        <f>TRIM(CLEAN(PROPER(tblClean[[#This Row],[Category]])))</f>
        <v>Shopping</v>
      </c>
      <c r="F938" s="10" t="s">
        <v>580</v>
      </c>
      <c r="G938" s="1" t="s">
        <v>8</v>
      </c>
      <c r="H938" s="15">
        <f>MONTH(tblClean[[#This Row],[Date]])</f>
        <v>3</v>
      </c>
      <c r="I938" s="15">
        <f>YEAR(tblClean[[#This Row],[Date]])</f>
        <v>2023</v>
      </c>
    </row>
    <row r="939" spans="1:9" x14ac:dyDescent="0.25">
      <c r="A939" s="7">
        <v>44988</v>
      </c>
      <c r="B939" s="2" t="s">
        <v>1889</v>
      </c>
      <c r="C939" s="4" t="str">
        <f>TRIM(CLEAN(PROPER(tblClean[[#This Row],[Transaction Description]])))</f>
        <v>Fact Huge Fight.</v>
      </c>
      <c r="D939" s="2" t="s">
        <v>22</v>
      </c>
      <c r="E939" s="3" t="str">
        <f>TRIM(CLEAN(PROPER(tblClean[[#This Row],[Category]])))</f>
        <v>Shopping</v>
      </c>
      <c r="F939" s="11" t="s">
        <v>1890</v>
      </c>
      <c r="G939" s="2" t="s">
        <v>8</v>
      </c>
      <c r="H939" s="15">
        <f>MONTH(tblClean[[#This Row],[Date]])</f>
        <v>3</v>
      </c>
      <c r="I939" s="15">
        <f>YEAR(tblClean[[#This Row],[Date]])</f>
        <v>2023</v>
      </c>
    </row>
    <row r="940" spans="1:9" x14ac:dyDescent="0.25">
      <c r="A940" s="6">
        <v>44990</v>
      </c>
      <c r="B940" s="1" t="s">
        <v>1895</v>
      </c>
      <c r="C940" s="3" t="str">
        <f>TRIM(CLEAN(PROPER(tblClean[[#This Row],[Transaction Description]])))</f>
        <v>Career Including Late Condition Opportunity.</v>
      </c>
      <c r="D940" s="1" t="s">
        <v>35</v>
      </c>
      <c r="E940" s="3" t="str">
        <f>TRIM(CLEAN(PROPER(tblClean[[#This Row],[Category]])))</f>
        <v>Health &amp; Fitness</v>
      </c>
      <c r="F940" s="10" t="s">
        <v>1896</v>
      </c>
      <c r="G940" s="1" t="s">
        <v>8</v>
      </c>
      <c r="H940" s="15">
        <f>MONTH(tblClean[[#This Row],[Date]])</f>
        <v>3</v>
      </c>
      <c r="I940" s="15">
        <f>YEAR(tblClean[[#This Row],[Date]])</f>
        <v>2023</v>
      </c>
    </row>
    <row r="941" spans="1:9" x14ac:dyDescent="0.25">
      <c r="A941" s="6">
        <v>44990</v>
      </c>
      <c r="B941" s="1" t="s">
        <v>1891</v>
      </c>
      <c r="C941" s="3" t="str">
        <f>TRIM(CLEAN(PROPER(tblClean[[#This Row],[Transaction Description]])))</f>
        <v>Coach Family Try Ready.</v>
      </c>
      <c r="D941" s="1" t="s">
        <v>27</v>
      </c>
      <c r="E941" s="3" t="str">
        <f>TRIM(CLEAN(PROPER(tblClean[[#This Row],[Category]])))</f>
        <v>Other</v>
      </c>
      <c r="F941" s="10" t="s">
        <v>1892</v>
      </c>
      <c r="G941" s="1" t="s">
        <v>18</v>
      </c>
      <c r="H941" s="15">
        <f>MONTH(tblClean[[#This Row],[Date]])</f>
        <v>3</v>
      </c>
      <c r="I941" s="15">
        <f>YEAR(tblClean[[#This Row],[Date]])</f>
        <v>2023</v>
      </c>
    </row>
    <row r="942" spans="1:9" x14ac:dyDescent="0.25">
      <c r="A942" s="7">
        <v>44990</v>
      </c>
      <c r="B942" s="2" t="s">
        <v>1893</v>
      </c>
      <c r="C942" s="4" t="str">
        <f>TRIM(CLEAN(PROPER(tblClean[[#This Row],[Transaction Description]])))</f>
        <v>Stop Later Reveal Both.</v>
      </c>
      <c r="D942" s="2" t="s">
        <v>22</v>
      </c>
      <c r="E942" s="3" t="str">
        <f>TRIM(CLEAN(PROPER(tblClean[[#This Row],[Category]])))</f>
        <v>Shopping</v>
      </c>
      <c r="F942" s="11" t="s">
        <v>1894</v>
      </c>
      <c r="G942" s="2" t="s">
        <v>8</v>
      </c>
      <c r="H942" s="15">
        <f>MONTH(tblClean[[#This Row],[Date]])</f>
        <v>3</v>
      </c>
      <c r="I942" s="15">
        <f>YEAR(tblClean[[#This Row],[Date]])</f>
        <v>2023</v>
      </c>
    </row>
    <row r="943" spans="1:9" x14ac:dyDescent="0.25">
      <c r="A943" s="7">
        <v>44992</v>
      </c>
      <c r="B943" s="2" t="s">
        <v>1897</v>
      </c>
      <c r="C943" s="4" t="str">
        <f>TRIM(CLEAN(PROPER(tblClean[[#This Row],[Transaction Description]])))</f>
        <v>Bed Food Possible Represent.</v>
      </c>
      <c r="D943" s="2" t="s">
        <v>30</v>
      </c>
      <c r="E943" s="3" t="str">
        <f>TRIM(CLEAN(PROPER(tblClean[[#This Row],[Category]])))</f>
        <v>Entertainment</v>
      </c>
      <c r="F943" s="11" t="s">
        <v>1898</v>
      </c>
      <c r="G943" s="2" t="s">
        <v>8</v>
      </c>
      <c r="H943" s="15">
        <f>MONTH(tblClean[[#This Row],[Date]])</f>
        <v>3</v>
      </c>
      <c r="I943" s="15">
        <f>YEAR(tblClean[[#This Row],[Date]])</f>
        <v>2023</v>
      </c>
    </row>
    <row r="944" spans="1:9" x14ac:dyDescent="0.25">
      <c r="A944" s="6">
        <v>44993</v>
      </c>
      <c r="B944" s="1" t="s">
        <v>1903</v>
      </c>
      <c r="C944" s="3" t="str">
        <f>TRIM(CLEAN(PROPER(tblClean[[#This Row],[Transaction Description]])))</f>
        <v>Analysis Color Friend The.</v>
      </c>
      <c r="D944" s="1" t="s">
        <v>35</v>
      </c>
      <c r="E944" s="3" t="str">
        <f>TRIM(CLEAN(PROPER(tblClean[[#This Row],[Category]])))</f>
        <v>Health &amp; Fitness</v>
      </c>
      <c r="F944" s="10" t="s">
        <v>1904</v>
      </c>
      <c r="G944" s="1" t="s">
        <v>8</v>
      </c>
      <c r="H944" s="15">
        <f>MONTH(tblClean[[#This Row],[Date]])</f>
        <v>3</v>
      </c>
      <c r="I944" s="15">
        <f>YEAR(tblClean[[#This Row],[Date]])</f>
        <v>2023</v>
      </c>
    </row>
    <row r="945" spans="1:9" x14ac:dyDescent="0.25">
      <c r="A945" s="7">
        <v>44993</v>
      </c>
      <c r="B945" s="2" t="s">
        <v>1901</v>
      </c>
      <c r="C945" s="4" t="str">
        <f>TRIM(CLEAN(PROPER(tblClean[[#This Row],[Transaction Description]])))</f>
        <v>Religious Risk Window Partner Civil.</v>
      </c>
      <c r="D945" s="2" t="s">
        <v>27</v>
      </c>
      <c r="E945" s="3" t="str">
        <f>TRIM(CLEAN(PROPER(tblClean[[#This Row],[Category]])))</f>
        <v>Other</v>
      </c>
      <c r="F945" s="11" t="s">
        <v>1902</v>
      </c>
      <c r="G945" s="2" t="s">
        <v>18</v>
      </c>
      <c r="H945" s="15">
        <f>MONTH(tblClean[[#This Row],[Date]])</f>
        <v>3</v>
      </c>
      <c r="I945" s="15">
        <f>YEAR(tblClean[[#This Row],[Date]])</f>
        <v>2023</v>
      </c>
    </row>
    <row r="946" spans="1:9" x14ac:dyDescent="0.25">
      <c r="A946" s="6">
        <v>44993</v>
      </c>
      <c r="B946" s="1" t="s">
        <v>1899</v>
      </c>
      <c r="C946" s="3" t="str">
        <f>TRIM(CLEAN(PROPER(tblClean[[#This Row],[Transaction Description]])))</f>
        <v>Before Relationship Plant.</v>
      </c>
      <c r="D946" s="1" t="s">
        <v>13</v>
      </c>
      <c r="E946" s="3" t="str">
        <f>TRIM(CLEAN(PROPER(tblClean[[#This Row],[Category]])))</f>
        <v>Rent</v>
      </c>
      <c r="F946" s="10" t="s">
        <v>1900</v>
      </c>
      <c r="G946" s="1" t="s">
        <v>8</v>
      </c>
      <c r="H946" s="15">
        <f>MONTH(tblClean[[#This Row],[Date]])</f>
        <v>3</v>
      </c>
      <c r="I946" s="15">
        <f>YEAR(tblClean[[#This Row],[Date]])</f>
        <v>2023</v>
      </c>
    </row>
    <row r="947" spans="1:9" x14ac:dyDescent="0.25">
      <c r="A947" s="7">
        <v>44993</v>
      </c>
      <c r="B947" s="2" t="s">
        <v>1905</v>
      </c>
      <c r="C947" s="4" t="str">
        <f>TRIM(CLEAN(PROPER(tblClean[[#This Row],[Transaction Description]])))</f>
        <v>Than Condition Republican.</v>
      </c>
      <c r="D947" s="2" t="s">
        <v>53</v>
      </c>
      <c r="E947" s="3" t="str">
        <f>TRIM(CLEAN(PROPER(tblClean[[#This Row],[Category]])))</f>
        <v>Travel</v>
      </c>
      <c r="F947" s="11" t="s">
        <v>1906</v>
      </c>
      <c r="G947" s="2" t="s">
        <v>8</v>
      </c>
      <c r="H947" s="15">
        <f>MONTH(tblClean[[#This Row],[Date]])</f>
        <v>3</v>
      </c>
      <c r="I947" s="15">
        <f>YEAR(tblClean[[#This Row],[Date]])</f>
        <v>2023</v>
      </c>
    </row>
    <row r="948" spans="1:9" x14ac:dyDescent="0.25">
      <c r="A948" s="7">
        <v>44995</v>
      </c>
      <c r="B948" s="2" t="s">
        <v>1909</v>
      </c>
      <c r="C948" s="4" t="str">
        <f>TRIM(CLEAN(PROPER(tblClean[[#This Row],[Transaction Description]])))</f>
        <v>Together Whether About.</v>
      </c>
      <c r="D948" s="2" t="s">
        <v>6</v>
      </c>
      <c r="E948" s="3" t="str">
        <f>TRIM(CLEAN(PROPER(tblClean[[#This Row],[Category]])))</f>
        <v>Food &amp; Drink</v>
      </c>
      <c r="F948" s="11" t="s">
        <v>1910</v>
      </c>
      <c r="G948" s="2" t="s">
        <v>8</v>
      </c>
      <c r="H948" s="15">
        <f>MONTH(tblClean[[#This Row],[Date]])</f>
        <v>3</v>
      </c>
      <c r="I948" s="15">
        <f>YEAR(tblClean[[#This Row],[Date]])</f>
        <v>2023</v>
      </c>
    </row>
    <row r="949" spans="1:9" x14ac:dyDescent="0.25">
      <c r="A949" s="6">
        <v>44995</v>
      </c>
      <c r="B949" s="1" t="s">
        <v>1907</v>
      </c>
      <c r="C949" s="3" t="str">
        <f>TRIM(CLEAN(PROPER(tblClean[[#This Row],[Transaction Description]])))</f>
        <v>Finally Shoulder Land.</v>
      </c>
      <c r="D949" s="1" t="s">
        <v>13</v>
      </c>
      <c r="E949" s="3" t="str">
        <f>TRIM(CLEAN(PROPER(tblClean[[#This Row],[Category]])))</f>
        <v>Rent</v>
      </c>
      <c r="F949" s="10" t="s">
        <v>1908</v>
      </c>
      <c r="G949" s="1" t="s">
        <v>8</v>
      </c>
      <c r="H949" s="15">
        <f>MONTH(tblClean[[#This Row],[Date]])</f>
        <v>3</v>
      </c>
      <c r="I949" s="15">
        <f>YEAR(tblClean[[#This Row],[Date]])</f>
        <v>2023</v>
      </c>
    </row>
    <row r="950" spans="1:9" x14ac:dyDescent="0.25">
      <c r="A950" s="6">
        <v>44997</v>
      </c>
      <c r="B950" s="1" t="s">
        <v>1911</v>
      </c>
      <c r="C950" s="3" t="str">
        <f>TRIM(CLEAN(PROPER(tblClean[[#This Row],[Transaction Description]])))</f>
        <v>Learn Talk.</v>
      </c>
      <c r="D950" s="1" t="s">
        <v>10</v>
      </c>
      <c r="E950" s="3" t="str">
        <f>TRIM(CLEAN(PROPER(tblClean[[#This Row],[Category]])))</f>
        <v>Utilities</v>
      </c>
      <c r="F950" s="10" t="s">
        <v>1912</v>
      </c>
      <c r="G950" s="1" t="s">
        <v>8</v>
      </c>
      <c r="H950" s="15">
        <f>MONTH(tblClean[[#This Row],[Date]])</f>
        <v>3</v>
      </c>
      <c r="I950" s="15">
        <f>YEAR(tblClean[[#This Row],[Date]])</f>
        <v>2023</v>
      </c>
    </row>
    <row r="951" spans="1:9" x14ac:dyDescent="0.25">
      <c r="A951" s="7">
        <v>44998</v>
      </c>
      <c r="B951" s="2" t="s">
        <v>1913</v>
      </c>
      <c r="C951" s="4" t="str">
        <f>TRIM(CLEAN(PROPER(tblClean[[#This Row],[Transaction Description]])))</f>
        <v>Part Management.</v>
      </c>
      <c r="D951" s="2" t="s">
        <v>35</v>
      </c>
      <c r="E951" s="3" t="str">
        <f>TRIM(CLEAN(PROPER(tblClean[[#This Row],[Category]])))</f>
        <v>Health &amp; Fitness</v>
      </c>
      <c r="F951" s="11" t="s">
        <v>1914</v>
      </c>
      <c r="G951" s="2" t="s">
        <v>8</v>
      </c>
      <c r="H951" s="15">
        <f>MONTH(tblClean[[#This Row],[Date]])</f>
        <v>3</v>
      </c>
      <c r="I951" s="15">
        <f>YEAR(tblClean[[#This Row],[Date]])</f>
        <v>2023</v>
      </c>
    </row>
    <row r="952" spans="1:9" x14ac:dyDescent="0.25">
      <c r="A952" s="6">
        <v>44998</v>
      </c>
      <c r="B952" s="1" t="s">
        <v>1915</v>
      </c>
      <c r="C952" s="3" t="str">
        <f>TRIM(CLEAN(PROPER(tblClean[[#This Row],[Transaction Description]])))</f>
        <v>Process Law Kind Over According.</v>
      </c>
      <c r="D952" s="1" t="s">
        <v>27</v>
      </c>
      <c r="E952" s="3" t="str">
        <f>TRIM(CLEAN(PROPER(tblClean[[#This Row],[Category]])))</f>
        <v>Other</v>
      </c>
      <c r="F952" s="10" t="s">
        <v>1916</v>
      </c>
      <c r="G952" s="1" t="s">
        <v>18</v>
      </c>
      <c r="H952" s="15">
        <f>MONTH(tblClean[[#This Row],[Date]])</f>
        <v>3</v>
      </c>
      <c r="I952" s="15">
        <f>YEAR(tblClean[[#This Row],[Date]])</f>
        <v>2023</v>
      </c>
    </row>
    <row r="953" spans="1:9" x14ac:dyDescent="0.25">
      <c r="A953" s="7">
        <v>44998</v>
      </c>
      <c r="B953" s="2" t="s">
        <v>1917</v>
      </c>
      <c r="C953" s="4" t="str">
        <f>TRIM(CLEAN(PROPER(tblClean[[#This Row],[Transaction Description]])))</f>
        <v>People Newspaper Stay.</v>
      </c>
      <c r="D953" s="2" t="s">
        <v>10</v>
      </c>
      <c r="E953" s="3" t="str">
        <f>TRIM(CLEAN(PROPER(tblClean[[#This Row],[Category]])))</f>
        <v>Utilities</v>
      </c>
      <c r="F953" s="11" t="s">
        <v>1918</v>
      </c>
      <c r="G953" s="2" t="s">
        <v>8</v>
      </c>
      <c r="H953" s="15">
        <f>MONTH(tblClean[[#This Row],[Date]])</f>
        <v>3</v>
      </c>
      <c r="I953" s="15">
        <f>YEAR(tblClean[[#This Row],[Date]])</f>
        <v>2023</v>
      </c>
    </row>
    <row r="954" spans="1:9" x14ac:dyDescent="0.25">
      <c r="A954" s="7">
        <v>45000</v>
      </c>
      <c r="B954" s="2" t="s">
        <v>1921</v>
      </c>
      <c r="C954" s="4" t="str">
        <f>TRIM(CLEAN(PROPER(tblClean[[#This Row],[Transaction Description]])))</f>
        <v>Study Fear Turn Any Indicate.</v>
      </c>
      <c r="D954" s="2" t="s">
        <v>13</v>
      </c>
      <c r="E954" s="3" t="str">
        <f>TRIM(CLEAN(PROPER(tblClean[[#This Row],[Category]])))</f>
        <v>Rent</v>
      </c>
      <c r="F954" s="11" t="s">
        <v>1922</v>
      </c>
      <c r="G954" s="2" t="s">
        <v>8</v>
      </c>
      <c r="H954" s="15">
        <f>MONTH(tblClean[[#This Row],[Date]])</f>
        <v>3</v>
      </c>
      <c r="I954" s="15">
        <f>YEAR(tblClean[[#This Row],[Date]])</f>
        <v>2023</v>
      </c>
    </row>
    <row r="955" spans="1:9" x14ac:dyDescent="0.25">
      <c r="A955" s="6">
        <v>45000</v>
      </c>
      <c r="B955" s="1" t="s">
        <v>1919</v>
      </c>
      <c r="C955" s="3" t="str">
        <f>TRIM(CLEAN(PROPER(tblClean[[#This Row],[Transaction Description]])))</f>
        <v>Challenge President Already.</v>
      </c>
      <c r="D955" s="1" t="s">
        <v>38</v>
      </c>
      <c r="E955" s="3" t="str">
        <f>TRIM(CLEAN(PROPER(tblClean[[#This Row],[Category]])))</f>
        <v>Salary</v>
      </c>
      <c r="F955" s="10" t="s">
        <v>1920</v>
      </c>
      <c r="G955" s="1" t="s">
        <v>8</v>
      </c>
      <c r="H955" s="15">
        <f>MONTH(tblClean[[#This Row],[Date]])</f>
        <v>3</v>
      </c>
      <c r="I955" s="15">
        <f>YEAR(tblClean[[#This Row],[Date]])</f>
        <v>2023</v>
      </c>
    </row>
    <row r="956" spans="1:9" x14ac:dyDescent="0.25">
      <c r="A956" s="7">
        <v>45001</v>
      </c>
      <c r="B956" s="2" t="s">
        <v>1925</v>
      </c>
      <c r="C956" s="4" t="str">
        <f>TRIM(CLEAN(PROPER(tblClean[[#This Row],[Transaction Description]])))</f>
        <v>Concern Lay Often Use Behavior.</v>
      </c>
      <c r="D956" s="2" t="s">
        <v>16</v>
      </c>
      <c r="E956" s="3" t="str">
        <f>TRIM(CLEAN(PROPER(tblClean[[#This Row],[Category]])))</f>
        <v>Investment</v>
      </c>
      <c r="F956" s="11" t="s">
        <v>1926</v>
      </c>
      <c r="G956" s="2" t="s">
        <v>18</v>
      </c>
      <c r="H956" s="15">
        <f>MONTH(tblClean[[#This Row],[Date]])</f>
        <v>3</v>
      </c>
      <c r="I956" s="15">
        <f>YEAR(tblClean[[#This Row],[Date]])</f>
        <v>2023</v>
      </c>
    </row>
    <row r="957" spans="1:9" x14ac:dyDescent="0.25">
      <c r="A957" s="6">
        <v>45001</v>
      </c>
      <c r="B957" s="1" t="s">
        <v>1923</v>
      </c>
      <c r="C957" s="3" t="str">
        <f>TRIM(CLEAN(PROPER(tblClean[[#This Row],[Transaction Description]])))</f>
        <v>Public Particularly Reality.</v>
      </c>
      <c r="D957" s="1" t="s">
        <v>10</v>
      </c>
      <c r="E957" s="3" t="str">
        <f>TRIM(CLEAN(PROPER(tblClean[[#This Row],[Category]])))</f>
        <v>Utilities</v>
      </c>
      <c r="F957" s="10" t="s">
        <v>1924</v>
      </c>
      <c r="G957" s="1" t="s">
        <v>8</v>
      </c>
      <c r="H957" s="15">
        <f>MONTH(tblClean[[#This Row],[Date]])</f>
        <v>3</v>
      </c>
      <c r="I957" s="15">
        <f>YEAR(tblClean[[#This Row],[Date]])</f>
        <v>2023</v>
      </c>
    </row>
    <row r="958" spans="1:9" x14ac:dyDescent="0.25">
      <c r="A958" s="6">
        <v>45003</v>
      </c>
      <c r="B958" s="1" t="s">
        <v>1927</v>
      </c>
      <c r="C958" s="3" t="str">
        <f>TRIM(CLEAN(PROPER(tblClean[[#This Row],[Transaction Description]])))</f>
        <v>Happy Her Attack Interview.</v>
      </c>
      <c r="D958" s="1" t="s">
        <v>27</v>
      </c>
      <c r="E958" s="3" t="str">
        <f>TRIM(CLEAN(PROPER(tblClean[[#This Row],[Category]])))</f>
        <v>Other</v>
      </c>
      <c r="F958" s="10" t="s">
        <v>1928</v>
      </c>
      <c r="G958" s="1" t="s">
        <v>18</v>
      </c>
      <c r="H958" s="15">
        <f>MONTH(tblClean[[#This Row],[Date]])</f>
        <v>3</v>
      </c>
      <c r="I958" s="15">
        <f>YEAR(tblClean[[#This Row],[Date]])</f>
        <v>2023</v>
      </c>
    </row>
    <row r="959" spans="1:9" x14ac:dyDescent="0.25">
      <c r="A959" s="7">
        <v>45003</v>
      </c>
      <c r="B959" s="2" t="s">
        <v>1929</v>
      </c>
      <c r="C959" s="4" t="str">
        <f>TRIM(CLEAN(PROPER(tblClean[[#This Row],[Transaction Description]])))</f>
        <v>Fall Care.</v>
      </c>
      <c r="D959" s="2" t="s">
        <v>13</v>
      </c>
      <c r="E959" s="3" t="str">
        <f>TRIM(CLEAN(PROPER(tblClean[[#This Row],[Category]])))</f>
        <v>Rent</v>
      </c>
      <c r="F959" s="11" t="s">
        <v>1930</v>
      </c>
      <c r="G959" s="2" t="s">
        <v>8</v>
      </c>
      <c r="H959" s="15">
        <f>MONTH(tblClean[[#This Row],[Date]])</f>
        <v>3</v>
      </c>
      <c r="I959" s="15">
        <f>YEAR(tblClean[[#This Row],[Date]])</f>
        <v>2023</v>
      </c>
    </row>
    <row r="960" spans="1:9" x14ac:dyDescent="0.25">
      <c r="A960" s="6">
        <v>45006</v>
      </c>
      <c r="B960" s="1" t="s">
        <v>1931</v>
      </c>
      <c r="C960" s="3" t="str">
        <f>TRIM(CLEAN(PROPER(tblClean[[#This Row],[Transaction Description]])))</f>
        <v>Money Modern Receive Partner.</v>
      </c>
      <c r="D960" s="1" t="s">
        <v>13</v>
      </c>
      <c r="E960" s="3" t="str">
        <f>TRIM(CLEAN(PROPER(tblClean[[#This Row],[Category]])))</f>
        <v>Rent</v>
      </c>
      <c r="F960" s="10" t="s">
        <v>1932</v>
      </c>
      <c r="G960" s="1" t="s">
        <v>8</v>
      </c>
      <c r="H960" s="15">
        <f>MONTH(tblClean[[#This Row],[Date]])</f>
        <v>3</v>
      </c>
      <c r="I960" s="15">
        <f>YEAR(tblClean[[#This Row],[Date]])</f>
        <v>2023</v>
      </c>
    </row>
    <row r="961" spans="1:9" x14ac:dyDescent="0.25">
      <c r="A961" s="7">
        <v>45007</v>
      </c>
      <c r="B961" s="2" t="s">
        <v>1933</v>
      </c>
      <c r="C961" s="4" t="str">
        <f>TRIM(CLEAN(PROPER(tblClean[[#This Row],[Transaction Description]])))</f>
        <v>Role Pick Would Low Read.</v>
      </c>
      <c r="D961" s="2" t="s">
        <v>27</v>
      </c>
      <c r="E961" s="3" t="str">
        <f>TRIM(CLEAN(PROPER(tblClean[[#This Row],[Category]])))</f>
        <v>Other</v>
      </c>
      <c r="F961" s="11" t="s">
        <v>1934</v>
      </c>
      <c r="G961" s="2" t="s">
        <v>18</v>
      </c>
      <c r="H961" s="15">
        <f>MONTH(tblClean[[#This Row],[Date]])</f>
        <v>3</v>
      </c>
      <c r="I961" s="15">
        <f>YEAR(tblClean[[#This Row],[Date]])</f>
        <v>2023</v>
      </c>
    </row>
    <row r="962" spans="1:9" x14ac:dyDescent="0.25">
      <c r="A962" s="6">
        <v>45008</v>
      </c>
      <c r="B962" s="1" t="s">
        <v>1935</v>
      </c>
      <c r="C962" s="3" t="str">
        <f>TRIM(CLEAN(PROPER(tblClean[[#This Row],[Transaction Description]])))</f>
        <v>Participant First Moment Yet.</v>
      </c>
      <c r="D962" s="1" t="s">
        <v>27</v>
      </c>
      <c r="E962" s="3" t="str">
        <f>TRIM(CLEAN(PROPER(tblClean[[#This Row],[Category]])))</f>
        <v>Other</v>
      </c>
      <c r="F962" s="10" t="s">
        <v>1936</v>
      </c>
      <c r="G962" s="1" t="s">
        <v>18</v>
      </c>
      <c r="H962" s="15">
        <f>MONTH(tblClean[[#This Row],[Date]])</f>
        <v>3</v>
      </c>
      <c r="I962" s="15">
        <f>YEAR(tblClean[[#This Row],[Date]])</f>
        <v>2023</v>
      </c>
    </row>
    <row r="963" spans="1:9" x14ac:dyDescent="0.25">
      <c r="A963" s="7">
        <v>45008</v>
      </c>
      <c r="B963" s="2" t="s">
        <v>1937</v>
      </c>
      <c r="C963" s="4" t="str">
        <f>TRIM(CLEAN(PROPER(tblClean[[#This Row],[Transaction Description]])))</f>
        <v>Pass Market Role.</v>
      </c>
      <c r="D963" s="2" t="s">
        <v>27</v>
      </c>
      <c r="E963" s="3" t="str">
        <f>TRIM(CLEAN(PROPER(tblClean[[#This Row],[Category]])))</f>
        <v>Other</v>
      </c>
      <c r="F963" s="11" t="s">
        <v>152</v>
      </c>
      <c r="G963" s="2" t="s">
        <v>18</v>
      </c>
      <c r="H963" s="15">
        <f>MONTH(tblClean[[#This Row],[Date]])</f>
        <v>3</v>
      </c>
      <c r="I963" s="15">
        <f>YEAR(tblClean[[#This Row],[Date]])</f>
        <v>2023</v>
      </c>
    </row>
    <row r="964" spans="1:9" x14ac:dyDescent="0.25">
      <c r="A964" s="6">
        <v>45008</v>
      </c>
      <c r="B964" s="1" t="s">
        <v>1938</v>
      </c>
      <c r="C964" s="3" t="str">
        <f>TRIM(CLEAN(PROPER(tblClean[[#This Row],[Transaction Description]])))</f>
        <v>Space This Discussion Fact.</v>
      </c>
      <c r="D964" s="1" t="s">
        <v>27</v>
      </c>
      <c r="E964" s="3" t="str">
        <f>TRIM(CLEAN(PROPER(tblClean[[#This Row],[Category]])))</f>
        <v>Other</v>
      </c>
      <c r="F964" s="10" t="s">
        <v>1939</v>
      </c>
      <c r="G964" s="1" t="s">
        <v>18</v>
      </c>
      <c r="H964" s="15">
        <f>MONTH(tblClean[[#This Row],[Date]])</f>
        <v>3</v>
      </c>
      <c r="I964" s="15">
        <f>YEAR(tblClean[[#This Row],[Date]])</f>
        <v>2023</v>
      </c>
    </row>
    <row r="965" spans="1:9" x14ac:dyDescent="0.25">
      <c r="A965" s="7">
        <v>45009</v>
      </c>
      <c r="B965" s="2" t="s">
        <v>1940</v>
      </c>
      <c r="C965" s="4" t="str">
        <f>TRIM(CLEAN(PROPER(tblClean[[#This Row],[Transaction Description]])))</f>
        <v>Brother Let.</v>
      </c>
      <c r="D965" s="2" t="s">
        <v>22</v>
      </c>
      <c r="E965" s="3" t="str">
        <f>TRIM(CLEAN(PROPER(tblClean[[#This Row],[Category]])))</f>
        <v>Shopping</v>
      </c>
      <c r="F965" s="11" t="s">
        <v>1941</v>
      </c>
      <c r="G965" s="2" t="s">
        <v>8</v>
      </c>
      <c r="H965" s="15">
        <f>MONTH(tblClean[[#This Row],[Date]])</f>
        <v>3</v>
      </c>
      <c r="I965" s="15">
        <f>YEAR(tblClean[[#This Row],[Date]])</f>
        <v>2023</v>
      </c>
    </row>
    <row r="966" spans="1:9" x14ac:dyDescent="0.25">
      <c r="A966" s="6">
        <v>45012</v>
      </c>
      <c r="B966" s="1" t="s">
        <v>1942</v>
      </c>
      <c r="C966" s="3" t="str">
        <f>TRIM(CLEAN(PROPER(tblClean[[#This Row],[Transaction Description]])))</f>
        <v>Son Yourself Increase.</v>
      </c>
      <c r="D966" s="1" t="s">
        <v>16</v>
      </c>
      <c r="E966" s="3" t="str">
        <f>TRIM(CLEAN(PROPER(tblClean[[#This Row],[Category]])))</f>
        <v>Investment</v>
      </c>
      <c r="F966" s="10" t="s">
        <v>1943</v>
      </c>
      <c r="G966" s="1" t="s">
        <v>18</v>
      </c>
      <c r="H966" s="15">
        <f>MONTH(tblClean[[#This Row],[Date]])</f>
        <v>3</v>
      </c>
      <c r="I966" s="15">
        <f>YEAR(tblClean[[#This Row],[Date]])</f>
        <v>2023</v>
      </c>
    </row>
    <row r="967" spans="1:9" x14ac:dyDescent="0.25">
      <c r="A967" s="7">
        <v>45014</v>
      </c>
      <c r="B967" s="2" t="s">
        <v>1944</v>
      </c>
      <c r="C967" s="4" t="str">
        <f>TRIM(CLEAN(PROPER(tblClean[[#This Row],[Transaction Description]])))</f>
        <v>Night Point Action Cut.</v>
      </c>
      <c r="D967" s="2" t="s">
        <v>38</v>
      </c>
      <c r="E967" s="3" t="str">
        <f>TRIM(CLEAN(PROPER(tblClean[[#This Row],[Category]])))</f>
        <v>Salary</v>
      </c>
      <c r="F967" s="11" t="s">
        <v>1945</v>
      </c>
      <c r="G967" s="2" t="s">
        <v>8</v>
      </c>
      <c r="H967" s="15">
        <f>MONTH(tblClean[[#This Row],[Date]])</f>
        <v>3</v>
      </c>
      <c r="I967" s="15">
        <f>YEAR(tblClean[[#This Row],[Date]])</f>
        <v>2023</v>
      </c>
    </row>
    <row r="968" spans="1:9" x14ac:dyDescent="0.25">
      <c r="A968" s="6">
        <v>45015</v>
      </c>
      <c r="B968" s="1" t="s">
        <v>1946</v>
      </c>
      <c r="C968" s="3" t="str">
        <f>TRIM(CLEAN(PROPER(tblClean[[#This Row],[Transaction Description]])))</f>
        <v>So Film Media.</v>
      </c>
      <c r="D968" s="1" t="s">
        <v>16</v>
      </c>
      <c r="E968" s="3" t="str">
        <f>TRIM(CLEAN(PROPER(tblClean[[#This Row],[Category]])))</f>
        <v>Investment</v>
      </c>
      <c r="F968" s="10" t="s">
        <v>1947</v>
      </c>
      <c r="G968" s="1" t="s">
        <v>18</v>
      </c>
      <c r="H968" s="15">
        <f>MONTH(tblClean[[#This Row],[Date]])</f>
        <v>3</v>
      </c>
      <c r="I968" s="15">
        <f>YEAR(tblClean[[#This Row],[Date]])</f>
        <v>2023</v>
      </c>
    </row>
    <row r="969" spans="1:9" x14ac:dyDescent="0.25">
      <c r="A969" s="7">
        <v>45016</v>
      </c>
      <c r="B969" s="2" t="s">
        <v>1948</v>
      </c>
      <c r="C969" s="4" t="str">
        <f>TRIM(CLEAN(PROPER(tblClean[[#This Row],[Transaction Description]])))</f>
        <v>Box Four.</v>
      </c>
      <c r="D969" s="2" t="s">
        <v>38</v>
      </c>
      <c r="E969" s="3" t="str">
        <f>TRIM(CLEAN(PROPER(tblClean[[#This Row],[Category]])))</f>
        <v>Salary</v>
      </c>
      <c r="F969" s="11" t="s">
        <v>1949</v>
      </c>
      <c r="G969" s="2" t="s">
        <v>8</v>
      </c>
      <c r="H969" s="15">
        <f>MONTH(tblClean[[#This Row],[Date]])</f>
        <v>3</v>
      </c>
      <c r="I969" s="15">
        <f>YEAR(tblClean[[#This Row],[Date]])</f>
        <v>2023</v>
      </c>
    </row>
    <row r="970" spans="1:9" x14ac:dyDescent="0.25">
      <c r="A970" s="6">
        <v>45016</v>
      </c>
      <c r="B970" s="1" t="s">
        <v>1950</v>
      </c>
      <c r="C970" s="3" t="str">
        <f>TRIM(CLEAN(PROPER(tblClean[[#This Row],[Transaction Description]])))</f>
        <v>Pattern Ahead Compare Form Full.</v>
      </c>
      <c r="D970" s="1" t="s">
        <v>10</v>
      </c>
      <c r="E970" s="3" t="str">
        <f>TRIM(CLEAN(PROPER(tblClean[[#This Row],[Category]])))</f>
        <v>Utilities</v>
      </c>
      <c r="F970" s="10" t="s">
        <v>1951</v>
      </c>
      <c r="G970" s="1" t="s">
        <v>8</v>
      </c>
      <c r="H970" s="15">
        <f>MONTH(tblClean[[#This Row],[Date]])</f>
        <v>3</v>
      </c>
      <c r="I970" s="15">
        <f>YEAR(tblClean[[#This Row],[Date]])</f>
        <v>2023</v>
      </c>
    </row>
    <row r="971" spans="1:9" x14ac:dyDescent="0.25">
      <c r="A971" s="7">
        <v>45017</v>
      </c>
      <c r="B971" s="2" t="s">
        <v>1952</v>
      </c>
      <c r="C971" s="4" t="str">
        <f>TRIM(CLEAN(PROPER(tblClean[[#This Row],[Transaction Description]])))</f>
        <v>Something Population Loss Physical.</v>
      </c>
      <c r="D971" s="2" t="s">
        <v>30</v>
      </c>
      <c r="E971" s="3" t="str">
        <f>TRIM(CLEAN(PROPER(tblClean[[#This Row],[Category]])))</f>
        <v>Entertainment</v>
      </c>
      <c r="F971" s="11" t="s">
        <v>1953</v>
      </c>
      <c r="G971" s="2" t="s">
        <v>8</v>
      </c>
      <c r="H971" s="15">
        <f>MONTH(tblClean[[#This Row],[Date]])</f>
        <v>4</v>
      </c>
      <c r="I971" s="15">
        <f>YEAR(tblClean[[#This Row],[Date]])</f>
        <v>2023</v>
      </c>
    </row>
    <row r="972" spans="1:9" x14ac:dyDescent="0.25">
      <c r="A972" s="6">
        <v>45017</v>
      </c>
      <c r="B972" s="1" t="s">
        <v>1954</v>
      </c>
      <c r="C972" s="3" t="str">
        <f>TRIM(CLEAN(PROPER(tblClean[[#This Row],[Transaction Description]])))</f>
        <v>Leg Sport Until Argue.</v>
      </c>
      <c r="D972" s="1" t="s">
        <v>6</v>
      </c>
      <c r="E972" s="3" t="str">
        <f>TRIM(CLEAN(PROPER(tblClean[[#This Row],[Category]])))</f>
        <v>Food &amp; Drink</v>
      </c>
      <c r="F972" s="10" t="s">
        <v>1955</v>
      </c>
      <c r="G972" s="1" t="s">
        <v>8</v>
      </c>
      <c r="H972" s="15">
        <f>MONTH(tblClean[[#This Row],[Date]])</f>
        <v>4</v>
      </c>
      <c r="I972" s="15">
        <f>YEAR(tblClean[[#This Row],[Date]])</f>
        <v>2023</v>
      </c>
    </row>
    <row r="973" spans="1:9" x14ac:dyDescent="0.25">
      <c r="A973" s="7">
        <v>45020</v>
      </c>
      <c r="B973" s="2" t="s">
        <v>1956</v>
      </c>
      <c r="C973" s="4" t="str">
        <f>TRIM(CLEAN(PROPER(tblClean[[#This Row],[Transaction Description]])))</f>
        <v>North Question New.</v>
      </c>
      <c r="D973" s="2" t="s">
        <v>35</v>
      </c>
      <c r="E973" s="3" t="str">
        <f>TRIM(CLEAN(PROPER(tblClean[[#This Row],[Category]])))</f>
        <v>Health &amp; Fitness</v>
      </c>
      <c r="F973" s="11" t="s">
        <v>1957</v>
      </c>
      <c r="G973" s="2" t="s">
        <v>8</v>
      </c>
      <c r="H973" s="15">
        <f>MONTH(tblClean[[#This Row],[Date]])</f>
        <v>4</v>
      </c>
      <c r="I973" s="15">
        <f>YEAR(tblClean[[#This Row],[Date]])</f>
        <v>2023</v>
      </c>
    </row>
    <row r="974" spans="1:9" x14ac:dyDescent="0.25">
      <c r="A974" s="6">
        <v>45023</v>
      </c>
      <c r="B974" s="1" t="s">
        <v>1958</v>
      </c>
      <c r="C974" s="3" t="str">
        <f>TRIM(CLEAN(PROPER(tblClean[[#This Row],[Transaction Description]])))</f>
        <v>Officer Forward Trouble.</v>
      </c>
      <c r="D974" s="1" t="s">
        <v>35</v>
      </c>
      <c r="E974" s="3" t="str">
        <f>TRIM(CLEAN(PROPER(tblClean[[#This Row],[Category]])))</f>
        <v>Health &amp; Fitness</v>
      </c>
      <c r="F974" s="10" t="s">
        <v>1959</v>
      </c>
      <c r="G974" s="1" t="s">
        <v>8</v>
      </c>
      <c r="H974" s="15">
        <f>MONTH(tblClean[[#This Row],[Date]])</f>
        <v>4</v>
      </c>
      <c r="I974" s="15">
        <f>YEAR(tblClean[[#This Row],[Date]])</f>
        <v>2023</v>
      </c>
    </row>
    <row r="975" spans="1:9" x14ac:dyDescent="0.25">
      <c r="A975" s="7">
        <v>45024</v>
      </c>
      <c r="B975" s="2" t="s">
        <v>1960</v>
      </c>
      <c r="C975" s="4" t="str">
        <f>TRIM(CLEAN(PROPER(tblClean[[#This Row],[Transaction Description]])))</f>
        <v>Wide Exactly.</v>
      </c>
      <c r="D975" s="2" t="s">
        <v>22</v>
      </c>
      <c r="E975" s="3" t="str">
        <f>TRIM(CLEAN(PROPER(tblClean[[#This Row],[Category]])))</f>
        <v>Shopping</v>
      </c>
      <c r="F975" s="11" t="s">
        <v>1961</v>
      </c>
      <c r="G975" s="2" t="s">
        <v>8</v>
      </c>
      <c r="H975" s="15">
        <f>MONTH(tblClean[[#This Row],[Date]])</f>
        <v>4</v>
      </c>
      <c r="I975" s="15">
        <f>YEAR(tblClean[[#This Row],[Date]])</f>
        <v>2023</v>
      </c>
    </row>
    <row r="976" spans="1:9" x14ac:dyDescent="0.25">
      <c r="A976" s="6">
        <v>45025</v>
      </c>
      <c r="B976" s="1" t="s">
        <v>1962</v>
      </c>
      <c r="C976" s="3" t="str">
        <f>TRIM(CLEAN(PROPER(tblClean[[#This Row],[Transaction Description]])))</f>
        <v>Worker Phone Success Number.</v>
      </c>
      <c r="D976" s="1" t="s">
        <v>16</v>
      </c>
      <c r="E976" s="3" t="str">
        <f>TRIM(CLEAN(PROPER(tblClean[[#This Row],[Category]])))</f>
        <v>Investment</v>
      </c>
      <c r="F976" s="10" t="s">
        <v>1963</v>
      </c>
      <c r="G976" s="1" t="s">
        <v>18</v>
      </c>
      <c r="H976" s="15">
        <f>MONTH(tblClean[[#This Row],[Date]])</f>
        <v>4</v>
      </c>
      <c r="I976" s="15">
        <f>YEAR(tblClean[[#This Row],[Date]])</f>
        <v>2023</v>
      </c>
    </row>
    <row r="977" spans="1:9" x14ac:dyDescent="0.25">
      <c r="A977" s="6">
        <v>45026</v>
      </c>
      <c r="B977" s="1" t="s">
        <v>1966</v>
      </c>
      <c r="C977" s="3" t="str">
        <f>TRIM(CLEAN(PROPER(tblClean[[#This Row],[Transaction Description]])))</f>
        <v>Even Beautiful.</v>
      </c>
      <c r="D977" s="1" t="s">
        <v>35</v>
      </c>
      <c r="E977" s="3" t="str">
        <f>TRIM(CLEAN(PROPER(tblClean[[#This Row],[Category]])))</f>
        <v>Health &amp; Fitness</v>
      </c>
      <c r="F977" s="10" t="s">
        <v>1967</v>
      </c>
      <c r="G977" s="1" t="s">
        <v>8</v>
      </c>
      <c r="H977" s="15">
        <f>MONTH(tblClean[[#This Row],[Date]])</f>
        <v>4</v>
      </c>
      <c r="I977" s="15">
        <f>YEAR(tblClean[[#This Row],[Date]])</f>
        <v>2023</v>
      </c>
    </row>
    <row r="978" spans="1:9" x14ac:dyDescent="0.25">
      <c r="A978" s="7">
        <v>45026</v>
      </c>
      <c r="B978" s="2" t="s">
        <v>1964</v>
      </c>
      <c r="C978" s="4" t="str">
        <f>TRIM(CLEAN(PROPER(tblClean[[#This Row],[Transaction Description]])))</f>
        <v>Organization Ten Seem.</v>
      </c>
      <c r="D978" s="2" t="s">
        <v>53</v>
      </c>
      <c r="E978" s="3" t="str">
        <f>TRIM(CLEAN(PROPER(tblClean[[#This Row],[Category]])))</f>
        <v>Travel</v>
      </c>
      <c r="F978" s="11" t="s">
        <v>1965</v>
      </c>
      <c r="G978" s="2" t="s">
        <v>8</v>
      </c>
      <c r="H978" s="15">
        <f>MONTH(tblClean[[#This Row],[Date]])</f>
        <v>4</v>
      </c>
      <c r="I978" s="15">
        <f>YEAR(tblClean[[#This Row],[Date]])</f>
        <v>2023</v>
      </c>
    </row>
    <row r="979" spans="1:9" x14ac:dyDescent="0.25">
      <c r="A979" s="7">
        <v>45029</v>
      </c>
      <c r="B979" s="2" t="s">
        <v>1968</v>
      </c>
      <c r="C979" s="4" t="str">
        <f>TRIM(CLEAN(PROPER(tblClean[[#This Row],[Transaction Description]])))</f>
        <v>Later Week Democratic Few.</v>
      </c>
      <c r="D979" s="2" t="s">
        <v>10</v>
      </c>
      <c r="E979" s="3" t="str">
        <f>TRIM(CLEAN(PROPER(tblClean[[#This Row],[Category]])))</f>
        <v>Utilities</v>
      </c>
      <c r="F979" s="11" t="s">
        <v>1969</v>
      </c>
      <c r="G979" s="2" t="s">
        <v>8</v>
      </c>
      <c r="H979" s="15">
        <f>MONTH(tblClean[[#This Row],[Date]])</f>
        <v>4</v>
      </c>
      <c r="I979" s="15">
        <f>YEAR(tblClean[[#This Row],[Date]])</f>
        <v>2023</v>
      </c>
    </row>
    <row r="980" spans="1:9" x14ac:dyDescent="0.25">
      <c r="A980" s="6">
        <v>45031</v>
      </c>
      <c r="B980" s="1" t="s">
        <v>1970</v>
      </c>
      <c r="C980" s="3" t="str">
        <f>TRIM(CLEAN(PROPER(tblClean[[#This Row],[Transaction Description]])))</f>
        <v>Size Sing Tree Kitchen.</v>
      </c>
      <c r="D980" s="1" t="s">
        <v>53</v>
      </c>
      <c r="E980" s="3" t="str">
        <f>TRIM(CLEAN(PROPER(tblClean[[#This Row],[Category]])))</f>
        <v>Travel</v>
      </c>
      <c r="F980" s="10" t="s">
        <v>1971</v>
      </c>
      <c r="G980" s="1" t="s">
        <v>8</v>
      </c>
      <c r="H980" s="15">
        <f>MONTH(tblClean[[#This Row],[Date]])</f>
        <v>4</v>
      </c>
      <c r="I980" s="15">
        <f>YEAR(tblClean[[#This Row],[Date]])</f>
        <v>2023</v>
      </c>
    </row>
    <row r="981" spans="1:9" x14ac:dyDescent="0.25">
      <c r="A981" s="7">
        <v>45032</v>
      </c>
      <c r="B981" s="2" t="s">
        <v>1972</v>
      </c>
      <c r="C981" s="4" t="str">
        <f>TRIM(CLEAN(PROPER(tblClean[[#This Row],[Transaction Description]])))</f>
        <v>Toward Child Future Low.</v>
      </c>
      <c r="D981" s="2" t="s">
        <v>6</v>
      </c>
      <c r="E981" s="3" t="str">
        <f>TRIM(CLEAN(PROPER(tblClean[[#This Row],[Category]])))</f>
        <v>Food &amp; Drink</v>
      </c>
      <c r="F981" s="11" t="s">
        <v>1973</v>
      </c>
      <c r="G981" s="2" t="s">
        <v>8</v>
      </c>
      <c r="H981" s="15">
        <f>MONTH(tblClean[[#This Row],[Date]])</f>
        <v>4</v>
      </c>
      <c r="I981" s="15">
        <f>YEAR(tblClean[[#This Row],[Date]])</f>
        <v>2023</v>
      </c>
    </row>
    <row r="982" spans="1:9" x14ac:dyDescent="0.25">
      <c r="A982" s="6">
        <v>45036</v>
      </c>
      <c r="B982" s="1" t="s">
        <v>1974</v>
      </c>
      <c r="C982" s="3" t="str">
        <f>TRIM(CLEAN(PROPER(tblClean[[#This Row],[Transaction Description]])))</f>
        <v>Simply Century The.</v>
      </c>
      <c r="D982" s="1" t="s">
        <v>22</v>
      </c>
      <c r="E982" s="3" t="str">
        <f>TRIM(CLEAN(PROPER(tblClean[[#This Row],[Category]])))</f>
        <v>Shopping</v>
      </c>
      <c r="F982" s="10" t="s">
        <v>1975</v>
      </c>
      <c r="G982" s="1" t="s">
        <v>8</v>
      </c>
      <c r="H982" s="15">
        <f>MONTH(tblClean[[#This Row],[Date]])</f>
        <v>4</v>
      </c>
      <c r="I982" s="15">
        <f>YEAR(tblClean[[#This Row],[Date]])</f>
        <v>2023</v>
      </c>
    </row>
    <row r="983" spans="1:9" x14ac:dyDescent="0.25">
      <c r="A983" s="7">
        <v>45036</v>
      </c>
      <c r="B983" s="2" t="s">
        <v>1976</v>
      </c>
      <c r="C983" s="4" t="str">
        <f>TRIM(CLEAN(PROPER(tblClean[[#This Row],[Transaction Description]])))</f>
        <v>Day Already Hold.</v>
      </c>
      <c r="D983" s="2" t="s">
        <v>10</v>
      </c>
      <c r="E983" s="3" t="str">
        <f>TRIM(CLEAN(PROPER(tblClean[[#This Row],[Category]])))</f>
        <v>Utilities</v>
      </c>
      <c r="F983" s="11" t="s">
        <v>1977</v>
      </c>
      <c r="G983" s="2" t="s">
        <v>8</v>
      </c>
      <c r="H983" s="15">
        <f>MONTH(tblClean[[#This Row],[Date]])</f>
        <v>4</v>
      </c>
      <c r="I983" s="15">
        <f>YEAR(tblClean[[#This Row],[Date]])</f>
        <v>2023</v>
      </c>
    </row>
    <row r="984" spans="1:9" x14ac:dyDescent="0.25">
      <c r="A984" s="6">
        <v>45037</v>
      </c>
      <c r="B984" s="1" t="s">
        <v>1978</v>
      </c>
      <c r="C984" s="3" t="str">
        <f>TRIM(CLEAN(PROPER(tblClean[[#This Row],[Transaction Description]])))</f>
        <v>About Usually.</v>
      </c>
      <c r="D984" s="1" t="s">
        <v>35</v>
      </c>
      <c r="E984" s="3" t="str">
        <f>TRIM(CLEAN(PROPER(tblClean[[#This Row],[Category]])))</f>
        <v>Health &amp; Fitness</v>
      </c>
      <c r="F984" s="10" t="s">
        <v>1979</v>
      </c>
      <c r="G984" s="1" t="s">
        <v>8</v>
      </c>
      <c r="H984" s="15">
        <f>MONTH(tblClean[[#This Row],[Date]])</f>
        <v>4</v>
      </c>
      <c r="I984" s="15">
        <f>YEAR(tblClean[[#This Row],[Date]])</f>
        <v>2023</v>
      </c>
    </row>
    <row r="985" spans="1:9" x14ac:dyDescent="0.25">
      <c r="A985" s="6">
        <v>45038</v>
      </c>
      <c r="B985" s="1" t="s">
        <v>1982</v>
      </c>
      <c r="C985" s="3" t="str">
        <f>TRIM(CLEAN(PROPER(tblClean[[#This Row],[Transaction Description]])))</f>
        <v>Officer Fine.</v>
      </c>
      <c r="D985" s="1" t="s">
        <v>30</v>
      </c>
      <c r="E985" s="3" t="str">
        <f>TRIM(CLEAN(PROPER(tblClean[[#This Row],[Category]])))</f>
        <v>Entertainment</v>
      </c>
      <c r="F985" s="10" t="s">
        <v>1983</v>
      </c>
      <c r="G985" s="1" t="s">
        <v>8</v>
      </c>
      <c r="H985" s="15">
        <f>MONTH(tblClean[[#This Row],[Date]])</f>
        <v>4</v>
      </c>
      <c r="I985" s="15">
        <f>YEAR(tblClean[[#This Row],[Date]])</f>
        <v>2023</v>
      </c>
    </row>
    <row r="986" spans="1:9" x14ac:dyDescent="0.25">
      <c r="A986" s="7">
        <v>45038</v>
      </c>
      <c r="B986" s="2" t="s">
        <v>1980</v>
      </c>
      <c r="C986" s="4" t="str">
        <f>TRIM(CLEAN(PROPER(tblClean[[#This Row],[Transaction Description]])))</f>
        <v>Level Animal Minute Probably.</v>
      </c>
      <c r="D986" s="2" t="s">
        <v>27</v>
      </c>
      <c r="E986" s="3" t="str">
        <f>TRIM(CLEAN(PROPER(tblClean[[#This Row],[Category]])))</f>
        <v>Other</v>
      </c>
      <c r="F986" s="11" t="s">
        <v>1981</v>
      </c>
      <c r="G986" s="2" t="s">
        <v>18</v>
      </c>
      <c r="H986" s="15">
        <f>MONTH(tblClean[[#This Row],[Date]])</f>
        <v>4</v>
      </c>
      <c r="I986" s="15">
        <f>YEAR(tblClean[[#This Row],[Date]])</f>
        <v>2023</v>
      </c>
    </row>
    <row r="987" spans="1:9" x14ac:dyDescent="0.25">
      <c r="A987" s="7">
        <v>45039</v>
      </c>
      <c r="B987" s="2" t="s">
        <v>1984</v>
      </c>
      <c r="C987" s="4" t="str">
        <f>TRIM(CLEAN(PROPER(tblClean[[#This Row],[Transaction Description]])))</f>
        <v>Customer Expert Mother Significant.</v>
      </c>
      <c r="D987" s="2" t="s">
        <v>38</v>
      </c>
      <c r="E987" s="3" t="str">
        <f>TRIM(CLEAN(PROPER(tblClean[[#This Row],[Category]])))</f>
        <v>Salary</v>
      </c>
      <c r="F987" s="11" t="s">
        <v>1985</v>
      </c>
      <c r="G987" s="2" t="s">
        <v>8</v>
      </c>
      <c r="H987" s="15">
        <f>MONTH(tblClean[[#This Row],[Date]])</f>
        <v>4</v>
      </c>
      <c r="I987" s="15">
        <f>YEAR(tblClean[[#This Row],[Date]])</f>
        <v>2023</v>
      </c>
    </row>
    <row r="988" spans="1:9" x14ac:dyDescent="0.25">
      <c r="A988" s="6">
        <v>45040</v>
      </c>
      <c r="B988" s="1" t="s">
        <v>1986</v>
      </c>
      <c r="C988" s="3" t="str">
        <f>TRIM(CLEAN(PROPER(tblClean[[#This Row],[Transaction Description]])))</f>
        <v>Chance Event Address.</v>
      </c>
      <c r="D988" s="1" t="s">
        <v>16</v>
      </c>
      <c r="E988" s="3" t="str">
        <f>TRIM(CLEAN(PROPER(tblClean[[#This Row],[Category]])))</f>
        <v>Investment</v>
      </c>
      <c r="F988" s="10" t="s">
        <v>1987</v>
      </c>
      <c r="G988" s="1" t="s">
        <v>18</v>
      </c>
      <c r="H988" s="15">
        <f>MONTH(tblClean[[#This Row],[Date]])</f>
        <v>4</v>
      </c>
      <c r="I988" s="15">
        <f>YEAR(tblClean[[#This Row],[Date]])</f>
        <v>2023</v>
      </c>
    </row>
    <row r="989" spans="1:9" x14ac:dyDescent="0.25">
      <c r="A989" s="7">
        <v>45041</v>
      </c>
      <c r="B989" s="2" t="s">
        <v>1988</v>
      </c>
      <c r="C989" s="4" t="str">
        <f>TRIM(CLEAN(PROPER(tblClean[[#This Row],[Transaction Description]])))</f>
        <v>Bill My Near Even Wall.</v>
      </c>
      <c r="D989" s="2" t="s">
        <v>16</v>
      </c>
      <c r="E989" s="3" t="str">
        <f>TRIM(CLEAN(PROPER(tblClean[[#This Row],[Category]])))</f>
        <v>Investment</v>
      </c>
      <c r="F989" s="11" t="s">
        <v>1989</v>
      </c>
      <c r="G989" s="2" t="s">
        <v>18</v>
      </c>
      <c r="H989" s="15">
        <f>MONTH(tblClean[[#This Row],[Date]])</f>
        <v>4</v>
      </c>
      <c r="I989" s="15">
        <f>YEAR(tblClean[[#This Row],[Date]])</f>
        <v>2023</v>
      </c>
    </row>
    <row r="990" spans="1:9" x14ac:dyDescent="0.25">
      <c r="A990" s="6">
        <v>45048</v>
      </c>
      <c r="B990" s="1" t="s">
        <v>1990</v>
      </c>
      <c r="C990" s="3" t="str">
        <f>TRIM(CLEAN(PROPER(tblClean[[#This Row],[Transaction Description]])))</f>
        <v>Each Author Party Full Kitchen.</v>
      </c>
      <c r="D990" s="1" t="s">
        <v>6</v>
      </c>
      <c r="E990" s="3" t="str">
        <f>TRIM(CLEAN(PROPER(tblClean[[#This Row],[Category]])))</f>
        <v>Food &amp; Drink</v>
      </c>
      <c r="F990" s="10" t="s">
        <v>1991</v>
      </c>
      <c r="G990" s="1" t="s">
        <v>8</v>
      </c>
      <c r="H990" s="15">
        <f>MONTH(tblClean[[#This Row],[Date]])</f>
        <v>5</v>
      </c>
      <c r="I990" s="15">
        <f>YEAR(tblClean[[#This Row],[Date]])</f>
        <v>2023</v>
      </c>
    </row>
    <row r="991" spans="1:9" x14ac:dyDescent="0.25">
      <c r="A991" s="7">
        <v>45048</v>
      </c>
      <c r="B991" s="2" t="s">
        <v>1992</v>
      </c>
      <c r="C991" s="4" t="str">
        <f>TRIM(CLEAN(PROPER(tblClean[[#This Row],[Transaction Description]])))</f>
        <v>Likely Push.</v>
      </c>
      <c r="D991" s="2" t="s">
        <v>10</v>
      </c>
      <c r="E991" s="3" t="str">
        <f>TRIM(CLEAN(PROPER(tblClean[[#This Row],[Category]])))</f>
        <v>Utilities</v>
      </c>
      <c r="F991" s="11" t="s">
        <v>1993</v>
      </c>
      <c r="G991" s="2" t="s">
        <v>8</v>
      </c>
      <c r="H991" s="15">
        <f>MONTH(tblClean[[#This Row],[Date]])</f>
        <v>5</v>
      </c>
      <c r="I991" s="15">
        <f>YEAR(tblClean[[#This Row],[Date]])</f>
        <v>2023</v>
      </c>
    </row>
    <row r="992" spans="1:9" x14ac:dyDescent="0.25">
      <c r="A992" s="6">
        <v>45049</v>
      </c>
      <c r="B992" s="1" t="s">
        <v>1994</v>
      </c>
      <c r="C992" s="3" t="str">
        <f>TRIM(CLEAN(PROPER(tblClean[[#This Row],[Transaction Description]])))</f>
        <v>Approach Interview Condition Other.</v>
      </c>
      <c r="D992" s="1" t="s">
        <v>27</v>
      </c>
      <c r="E992" s="3" t="str">
        <f>TRIM(CLEAN(PROPER(tblClean[[#This Row],[Category]])))</f>
        <v>Other</v>
      </c>
      <c r="F992" s="10" t="s">
        <v>1995</v>
      </c>
      <c r="G992" s="1" t="s">
        <v>18</v>
      </c>
      <c r="H992" s="15">
        <f>MONTH(tblClean[[#This Row],[Date]])</f>
        <v>5</v>
      </c>
      <c r="I992" s="15">
        <f>YEAR(tblClean[[#This Row],[Date]])</f>
        <v>2023</v>
      </c>
    </row>
    <row r="993" spans="1:9" x14ac:dyDescent="0.25">
      <c r="A993" s="6">
        <v>45051</v>
      </c>
      <c r="B993" s="1" t="s">
        <v>1998</v>
      </c>
      <c r="C993" s="3" t="str">
        <f>TRIM(CLEAN(PROPER(tblClean[[#This Row],[Transaction Description]])))</f>
        <v>Nothing Behavior Sort Recognize.</v>
      </c>
      <c r="D993" s="1" t="s">
        <v>35</v>
      </c>
      <c r="E993" s="3" t="str">
        <f>TRIM(CLEAN(PROPER(tblClean[[#This Row],[Category]])))</f>
        <v>Health &amp; Fitness</v>
      </c>
      <c r="F993" s="10" t="s">
        <v>1999</v>
      </c>
      <c r="G993" s="1" t="s">
        <v>8</v>
      </c>
      <c r="H993" s="15">
        <f>MONTH(tblClean[[#This Row],[Date]])</f>
        <v>5</v>
      </c>
      <c r="I993" s="15">
        <f>YEAR(tblClean[[#This Row],[Date]])</f>
        <v>2023</v>
      </c>
    </row>
    <row r="994" spans="1:9" x14ac:dyDescent="0.25">
      <c r="A994" s="7">
        <v>45051</v>
      </c>
      <c r="B994" s="2" t="s">
        <v>1996</v>
      </c>
      <c r="C994" s="4" t="str">
        <f>TRIM(CLEAN(PROPER(tblClean[[#This Row],[Transaction Description]])))</f>
        <v>Green Forward Cup Serve Speak.</v>
      </c>
      <c r="D994" s="2" t="s">
        <v>16</v>
      </c>
      <c r="E994" s="3" t="str">
        <f>TRIM(CLEAN(PROPER(tblClean[[#This Row],[Category]])))</f>
        <v>Investment</v>
      </c>
      <c r="F994" s="11" t="s">
        <v>1997</v>
      </c>
      <c r="G994" s="2" t="s">
        <v>18</v>
      </c>
      <c r="H994" s="15">
        <f>MONTH(tblClean[[#This Row],[Date]])</f>
        <v>5</v>
      </c>
      <c r="I994" s="15">
        <f>YEAR(tblClean[[#This Row],[Date]])</f>
        <v>2023</v>
      </c>
    </row>
    <row r="995" spans="1:9" x14ac:dyDescent="0.25">
      <c r="A995" s="7">
        <v>45051</v>
      </c>
      <c r="B995" s="2" t="s">
        <v>2000</v>
      </c>
      <c r="C995" s="4" t="str">
        <f>TRIM(CLEAN(PROPER(tblClean[[#This Row],[Transaction Description]])))</f>
        <v>Financial Popular Short Like.</v>
      </c>
      <c r="D995" s="2" t="s">
        <v>22</v>
      </c>
      <c r="E995" s="3" t="str">
        <f>TRIM(CLEAN(PROPER(tblClean[[#This Row],[Category]])))</f>
        <v>Shopping</v>
      </c>
      <c r="F995" s="11" t="s">
        <v>2001</v>
      </c>
      <c r="G995" s="2" t="s">
        <v>8</v>
      </c>
      <c r="H995" s="15">
        <f>MONTH(tblClean[[#This Row],[Date]])</f>
        <v>5</v>
      </c>
      <c r="I995" s="15">
        <f>YEAR(tblClean[[#This Row],[Date]])</f>
        <v>2023</v>
      </c>
    </row>
    <row r="996" spans="1:9" x14ac:dyDescent="0.25">
      <c r="A996" s="6">
        <v>45053</v>
      </c>
      <c r="B996" s="1" t="s">
        <v>2002</v>
      </c>
      <c r="C996" s="3" t="str">
        <f>TRIM(CLEAN(PROPER(tblClean[[#This Row],[Transaction Description]])))</f>
        <v>Technology Pay Tree.</v>
      </c>
      <c r="D996" s="1" t="s">
        <v>35</v>
      </c>
      <c r="E996" s="3" t="str">
        <f>TRIM(CLEAN(PROPER(tblClean[[#This Row],[Category]])))</f>
        <v>Health &amp; Fitness</v>
      </c>
      <c r="F996" s="10" t="s">
        <v>2003</v>
      </c>
      <c r="G996" s="1" t="s">
        <v>8</v>
      </c>
      <c r="H996" s="15">
        <f>MONTH(tblClean[[#This Row],[Date]])</f>
        <v>5</v>
      </c>
      <c r="I996" s="15">
        <f>YEAR(tblClean[[#This Row],[Date]])</f>
        <v>2023</v>
      </c>
    </row>
    <row r="997" spans="1:9" x14ac:dyDescent="0.25">
      <c r="A997" s="7">
        <v>45058</v>
      </c>
      <c r="B997" s="2" t="s">
        <v>2004</v>
      </c>
      <c r="C997" s="4" t="str">
        <f>TRIM(CLEAN(PROPER(tblClean[[#This Row],[Transaction Description]])))</f>
        <v>Record Professor Small.</v>
      </c>
      <c r="D997" s="2" t="s">
        <v>27</v>
      </c>
      <c r="E997" s="3" t="str">
        <f>TRIM(CLEAN(PROPER(tblClean[[#This Row],[Category]])))</f>
        <v>Other</v>
      </c>
      <c r="F997" s="11" t="s">
        <v>2005</v>
      </c>
      <c r="G997" s="2" t="s">
        <v>18</v>
      </c>
      <c r="H997" s="15">
        <f>MONTH(tblClean[[#This Row],[Date]])</f>
        <v>5</v>
      </c>
      <c r="I997" s="15">
        <f>YEAR(tblClean[[#This Row],[Date]])</f>
        <v>2023</v>
      </c>
    </row>
    <row r="998" spans="1:9" x14ac:dyDescent="0.25">
      <c r="A998" s="7">
        <v>45060</v>
      </c>
      <c r="B998" s="2" t="s">
        <v>2008</v>
      </c>
      <c r="C998" s="4" t="str">
        <f>TRIM(CLEAN(PROPER(tblClean[[#This Row],[Transaction Description]])))</f>
        <v>Should Page Camera.</v>
      </c>
      <c r="D998" s="2" t="s">
        <v>35</v>
      </c>
      <c r="E998" s="3" t="str">
        <f>TRIM(CLEAN(PROPER(tblClean[[#This Row],[Category]])))</f>
        <v>Health &amp; Fitness</v>
      </c>
      <c r="F998" s="11" t="s">
        <v>2009</v>
      </c>
      <c r="G998" s="2" t="s">
        <v>8</v>
      </c>
      <c r="H998" s="15">
        <f>MONTH(tblClean[[#This Row],[Date]])</f>
        <v>5</v>
      </c>
      <c r="I998" s="15">
        <f>YEAR(tblClean[[#This Row],[Date]])</f>
        <v>2023</v>
      </c>
    </row>
    <row r="999" spans="1:9" x14ac:dyDescent="0.25">
      <c r="A999" s="6">
        <v>45060</v>
      </c>
      <c r="B999" s="1" t="s">
        <v>2006</v>
      </c>
      <c r="C999" s="3" t="str">
        <f>TRIM(CLEAN(PROPER(tblClean[[#This Row],[Transaction Description]])))</f>
        <v>Maintain Assume Both Long.</v>
      </c>
      <c r="D999" s="1" t="s">
        <v>10</v>
      </c>
      <c r="E999" s="3" t="str">
        <f>TRIM(CLEAN(PROPER(tblClean[[#This Row],[Category]])))</f>
        <v>Utilities</v>
      </c>
      <c r="F999" s="10" t="s">
        <v>2007</v>
      </c>
      <c r="G999" s="1" t="s">
        <v>8</v>
      </c>
      <c r="H999" s="15">
        <f>MONTH(tblClean[[#This Row],[Date]])</f>
        <v>5</v>
      </c>
      <c r="I999" s="15">
        <f>YEAR(tblClean[[#This Row],[Date]])</f>
        <v>2023</v>
      </c>
    </row>
    <row r="1000" spans="1:9" x14ac:dyDescent="0.25">
      <c r="A1000" s="6">
        <v>45060</v>
      </c>
      <c r="B1000" s="1" t="s">
        <v>2010</v>
      </c>
      <c r="C1000" s="3" t="str">
        <f>TRIM(CLEAN(PROPER(tblClean[[#This Row],[Transaction Description]])))</f>
        <v>Stage Someone For Power.</v>
      </c>
      <c r="D1000" s="1" t="s">
        <v>10</v>
      </c>
      <c r="E1000" s="3" t="str">
        <f>TRIM(CLEAN(PROPER(tblClean[[#This Row],[Category]])))</f>
        <v>Utilities</v>
      </c>
      <c r="F1000" s="10" t="s">
        <v>2011</v>
      </c>
      <c r="G1000" s="1" t="s">
        <v>8</v>
      </c>
      <c r="H1000" s="15">
        <f>MONTH(tblClean[[#This Row],[Date]])</f>
        <v>5</v>
      </c>
      <c r="I1000" s="15">
        <f>YEAR(tblClean[[#This Row],[Date]])</f>
        <v>2023</v>
      </c>
    </row>
    <row r="1001" spans="1:9" x14ac:dyDescent="0.25">
      <c r="A1001" s="6">
        <v>45061</v>
      </c>
      <c r="B1001" s="1" t="s">
        <v>2014</v>
      </c>
      <c r="C1001" s="3" t="str">
        <f>TRIM(CLEAN(PROPER(tblClean[[#This Row],[Transaction Description]])))</f>
        <v>At Decade Really Issue.</v>
      </c>
      <c r="D1001" s="1" t="s">
        <v>22</v>
      </c>
      <c r="E1001" s="3" t="str">
        <f>TRIM(CLEAN(PROPER(tblClean[[#This Row],[Category]])))</f>
        <v>Shopping</v>
      </c>
      <c r="F1001" s="10" t="s">
        <v>2015</v>
      </c>
      <c r="G1001" s="1" t="s">
        <v>8</v>
      </c>
      <c r="H1001" s="15">
        <f>MONTH(tblClean[[#This Row],[Date]])</f>
        <v>5</v>
      </c>
      <c r="I1001" s="15">
        <f>YEAR(tblClean[[#This Row],[Date]])</f>
        <v>2023</v>
      </c>
    </row>
    <row r="1002" spans="1:9" x14ac:dyDescent="0.25">
      <c r="A1002" s="7">
        <v>45061</v>
      </c>
      <c r="B1002" s="2" t="s">
        <v>2012</v>
      </c>
      <c r="C1002" s="4" t="str">
        <f>TRIM(CLEAN(PROPER(tblClean[[#This Row],[Transaction Description]])))</f>
        <v>Leave Opportunity Draw During City.</v>
      </c>
      <c r="D1002" s="2" t="s">
        <v>53</v>
      </c>
      <c r="E1002" s="3" t="str">
        <f>TRIM(CLEAN(PROPER(tblClean[[#This Row],[Category]])))</f>
        <v>Travel</v>
      </c>
      <c r="F1002" s="11" t="s">
        <v>2013</v>
      </c>
      <c r="G1002" s="2" t="s">
        <v>8</v>
      </c>
      <c r="H1002" s="15">
        <f>MONTH(tblClean[[#This Row],[Date]])</f>
        <v>5</v>
      </c>
      <c r="I1002" s="15">
        <f>YEAR(tblClean[[#This Row],[Date]])</f>
        <v>2023</v>
      </c>
    </row>
    <row r="1003" spans="1:9" x14ac:dyDescent="0.25">
      <c r="A1003" s="7">
        <v>45062</v>
      </c>
      <c r="B1003" s="2" t="s">
        <v>2016</v>
      </c>
      <c r="C1003" s="4" t="str">
        <f>TRIM(CLEAN(PROPER(tblClean[[#This Row],[Transaction Description]])))</f>
        <v>Skin Name Door Production Back.</v>
      </c>
      <c r="D1003" s="2" t="s">
        <v>6</v>
      </c>
      <c r="E1003" s="3" t="str">
        <f>TRIM(CLEAN(PROPER(tblClean[[#This Row],[Category]])))</f>
        <v>Food &amp; Drink</v>
      </c>
      <c r="F1003" s="11" t="s">
        <v>2017</v>
      </c>
      <c r="G1003" s="2" t="s">
        <v>8</v>
      </c>
      <c r="H1003" s="15">
        <f>MONTH(tblClean[[#This Row],[Date]])</f>
        <v>5</v>
      </c>
      <c r="I1003" s="15">
        <f>YEAR(tblClean[[#This Row],[Date]])</f>
        <v>2023</v>
      </c>
    </row>
    <row r="1004" spans="1:9" x14ac:dyDescent="0.25">
      <c r="A1004" s="6">
        <v>45063</v>
      </c>
      <c r="B1004" s="1" t="s">
        <v>2018</v>
      </c>
      <c r="C1004" s="3" t="str">
        <f>TRIM(CLEAN(PROPER(tblClean[[#This Row],[Transaction Description]])))</f>
        <v>Boy Other Foot Best.</v>
      </c>
      <c r="D1004" s="1" t="s">
        <v>30</v>
      </c>
      <c r="E1004" s="3" t="str">
        <f>TRIM(CLEAN(PROPER(tblClean[[#This Row],[Category]])))</f>
        <v>Entertainment</v>
      </c>
      <c r="F1004" s="10" t="s">
        <v>2019</v>
      </c>
      <c r="G1004" s="1" t="s">
        <v>8</v>
      </c>
      <c r="H1004" s="15">
        <f>MONTH(tblClean[[#This Row],[Date]])</f>
        <v>5</v>
      </c>
      <c r="I1004" s="15">
        <f>YEAR(tblClean[[#This Row],[Date]])</f>
        <v>2023</v>
      </c>
    </row>
    <row r="1005" spans="1:9" x14ac:dyDescent="0.25">
      <c r="A1005" s="7">
        <v>45064</v>
      </c>
      <c r="B1005" s="2" t="s">
        <v>2020</v>
      </c>
      <c r="C1005" s="4" t="str">
        <f>TRIM(CLEAN(PROPER(tblClean[[#This Row],[Transaction Description]])))</f>
        <v>Final Image Our.</v>
      </c>
      <c r="D1005" s="2" t="s">
        <v>27</v>
      </c>
      <c r="E1005" s="3" t="str">
        <f>TRIM(CLEAN(PROPER(tblClean[[#This Row],[Category]])))</f>
        <v>Other</v>
      </c>
      <c r="F1005" s="11" t="s">
        <v>2021</v>
      </c>
      <c r="G1005" s="2" t="s">
        <v>18</v>
      </c>
      <c r="H1005" s="15">
        <f>MONTH(tblClean[[#This Row],[Date]])</f>
        <v>5</v>
      </c>
      <c r="I1005" s="15">
        <f>YEAR(tblClean[[#This Row],[Date]])</f>
        <v>2023</v>
      </c>
    </row>
    <row r="1006" spans="1:9" x14ac:dyDescent="0.25">
      <c r="A1006" s="6">
        <v>45065</v>
      </c>
      <c r="B1006" s="1" t="s">
        <v>2022</v>
      </c>
      <c r="C1006" s="3" t="str">
        <f>TRIM(CLEAN(PROPER(tblClean[[#This Row],[Transaction Description]])))</f>
        <v>Management Produce Bed Stage.</v>
      </c>
      <c r="D1006" s="1" t="s">
        <v>13</v>
      </c>
      <c r="E1006" s="3" t="str">
        <f>TRIM(CLEAN(PROPER(tblClean[[#This Row],[Category]])))</f>
        <v>Rent</v>
      </c>
      <c r="F1006" s="10" t="s">
        <v>2023</v>
      </c>
      <c r="G1006" s="1" t="s">
        <v>8</v>
      </c>
      <c r="H1006" s="15">
        <f>MONTH(tblClean[[#This Row],[Date]])</f>
        <v>5</v>
      </c>
      <c r="I1006" s="15">
        <f>YEAR(tblClean[[#This Row],[Date]])</f>
        <v>2023</v>
      </c>
    </row>
    <row r="1007" spans="1:9" x14ac:dyDescent="0.25">
      <c r="A1007" s="7">
        <v>45066</v>
      </c>
      <c r="B1007" s="2" t="s">
        <v>2028</v>
      </c>
      <c r="C1007" s="4" t="str">
        <f>TRIM(CLEAN(PROPER(tblClean[[#This Row],[Transaction Description]])))</f>
        <v>Some Quickly Truth View Response.</v>
      </c>
      <c r="D1007" s="2" t="s">
        <v>30</v>
      </c>
      <c r="E1007" s="3" t="str">
        <f>TRIM(CLEAN(PROPER(tblClean[[#This Row],[Category]])))</f>
        <v>Entertainment</v>
      </c>
      <c r="F1007" s="11" t="s">
        <v>2029</v>
      </c>
      <c r="G1007" s="2" t="s">
        <v>8</v>
      </c>
      <c r="H1007" s="15">
        <f>MONTH(tblClean[[#This Row],[Date]])</f>
        <v>5</v>
      </c>
      <c r="I1007" s="15">
        <f>YEAR(tblClean[[#This Row],[Date]])</f>
        <v>2023</v>
      </c>
    </row>
    <row r="1008" spans="1:9" x14ac:dyDescent="0.25">
      <c r="A1008" s="6">
        <v>45066</v>
      </c>
      <c r="B1008" s="1" t="s">
        <v>2026</v>
      </c>
      <c r="C1008" s="3" t="str">
        <f>TRIM(CLEAN(PROPER(tblClean[[#This Row],[Transaction Description]])))</f>
        <v>Factor Past Language Day Theory.</v>
      </c>
      <c r="D1008" s="1" t="s">
        <v>35</v>
      </c>
      <c r="E1008" s="3" t="str">
        <f>TRIM(CLEAN(PROPER(tblClean[[#This Row],[Category]])))</f>
        <v>Health &amp; Fitness</v>
      </c>
      <c r="F1008" s="10" t="s">
        <v>2027</v>
      </c>
      <c r="G1008" s="1" t="s">
        <v>8</v>
      </c>
      <c r="H1008" s="15">
        <f>MONTH(tblClean[[#This Row],[Date]])</f>
        <v>5</v>
      </c>
      <c r="I1008" s="15">
        <f>YEAR(tblClean[[#This Row],[Date]])</f>
        <v>2023</v>
      </c>
    </row>
    <row r="1009" spans="1:9" x14ac:dyDescent="0.25">
      <c r="A1009" s="7">
        <v>45066</v>
      </c>
      <c r="B1009" s="2" t="s">
        <v>2024</v>
      </c>
      <c r="C1009" s="4" t="str">
        <f>TRIM(CLEAN(PROPER(tblClean[[#This Row],[Transaction Description]])))</f>
        <v>Serious Produce.</v>
      </c>
      <c r="D1009" s="2" t="s">
        <v>10</v>
      </c>
      <c r="E1009" s="3" t="str">
        <f>TRIM(CLEAN(PROPER(tblClean[[#This Row],[Category]])))</f>
        <v>Utilities</v>
      </c>
      <c r="F1009" s="11" t="s">
        <v>2025</v>
      </c>
      <c r="G1009" s="2" t="s">
        <v>8</v>
      </c>
      <c r="H1009" s="15">
        <f>MONTH(tblClean[[#This Row],[Date]])</f>
        <v>5</v>
      </c>
      <c r="I1009" s="15">
        <f>YEAR(tblClean[[#This Row],[Date]])</f>
        <v>2023</v>
      </c>
    </row>
    <row r="1010" spans="1:9" x14ac:dyDescent="0.25">
      <c r="A1010" s="7">
        <v>45068</v>
      </c>
      <c r="B1010" s="2" t="s">
        <v>2032</v>
      </c>
      <c r="C1010" s="4" t="str">
        <f>TRIM(CLEAN(PROPER(tblClean[[#This Row],[Transaction Description]])))</f>
        <v>Summer System Artist Too.</v>
      </c>
      <c r="D1010" s="2" t="s">
        <v>27</v>
      </c>
      <c r="E1010" s="3" t="str">
        <f>TRIM(CLEAN(PROPER(tblClean[[#This Row],[Category]])))</f>
        <v>Other</v>
      </c>
      <c r="F1010" s="11" t="s">
        <v>2033</v>
      </c>
      <c r="G1010" s="2" t="s">
        <v>18</v>
      </c>
      <c r="H1010" s="15">
        <f>MONTH(tblClean[[#This Row],[Date]])</f>
        <v>5</v>
      </c>
      <c r="I1010" s="15">
        <f>YEAR(tblClean[[#This Row],[Date]])</f>
        <v>2023</v>
      </c>
    </row>
    <row r="1011" spans="1:9" x14ac:dyDescent="0.25">
      <c r="A1011" s="6">
        <v>45068</v>
      </c>
      <c r="B1011" s="1" t="s">
        <v>2030</v>
      </c>
      <c r="C1011" s="3" t="str">
        <f>TRIM(CLEAN(PROPER(tblClean[[#This Row],[Transaction Description]])))</f>
        <v>Old Particularly.</v>
      </c>
      <c r="D1011" s="1" t="s">
        <v>13</v>
      </c>
      <c r="E1011" s="3" t="str">
        <f>TRIM(CLEAN(PROPER(tblClean[[#This Row],[Category]])))</f>
        <v>Rent</v>
      </c>
      <c r="F1011" s="10" t="s">
        <v>2031</v>
      </c>
      <c r="G1011" s="1" t="s">
        <v>8</v>
      </c>
      <c r="H1011" s="15">
        <f>MONTH(tblClean[[#This Row],[Date]])</f>
        <v>5</v>
      </c>
      <c r="I1011" s="15">
        <f>YEAR(tblClean[[#This Row],[Date]])</f>
        <v>2023</v>
      </c>
    </row>
    <row r="1012" spans="1:9" x14ac:dyDescent="0.25">
      <c r="A1012" s="6">
        <v>45068</v>
      </c>
      <c r="B1012" s="1" t="s">
        <v>2034</v>
      </c>
      <c r="C1012" s="3" t="str">
        <f>TRIM(CLEAN(PROPER(tblClean[[#This Row],[Transaction Description]])))</f>
        <v>Reflect Star.</v>
      </c>
      <c r="D1012" s="1" t="s">
        <v>22</v>
      </c>
      <c r="E1012" s="3" t="str">
        <f>TRIM(CLEAN(PROPER(tblClean[[#This Row],[Category]])))</f>
        <v>Shopping</v>
      </c>
      <c r="F1012" s="10" t="s">
        <v>2035</v>
      </c>
      <c r="G1012" s="1" t="s">
        <v>8</v>
      </c>
      <c r="H1012" s="15">
        <f>MONTH(tblClean[[#This Row],[Date]])</f>
        <v>5</v>
      </c>
      <c r="I1012" s="15">
        <f>YEAR(tblClean[[#This Row],[Date]])</f>
        <v>2023</v>
      </c>
    </row>
    <row r="1013" spans="1:9" x14ac:dyDescent="0.25">
      <c r="A1013" s="7">
        <v>45071</v>
      </c>
      <c r="B1013" s="2" t="s">
        <v>2036</v>
      </c>
      <c r="C1013" s="4" t="str">
        <f>TRIM(CLEAN(PROPER(tblClean[[#This Row],[Transaction Description]])))</f>
        <v>Technology Tend.</v>
      </c>
      <c r="D1013" s="2" t="s">
        <v>22</v>
      </c>
      <c r="E1013" s="3" t="str">
        <f>TRIM(CLEAN(PROPER(tblClean[[#This Row],[Category]])))</f>
        <v>Shopping</v>
      </c>
      <c r="F1013" s="11" t="s">
        <v>2037</v>
      </c>
      <c r="G1013" s="2" t="s">
        <v>8</v>
      </c>
      <c r="H1013" s="15">
        <f>MONTH(tblClean[[#This Row],[Date]])</f>
        <v>5</v>
      </c>
      <c r="I1013" s="15">
        <f>YEAR(tblClean[[#This Row],[Date]])</f>
        <v>2023</v>
      </c>
    </row>
    <row r="1014" spans="1:9" x14ac:dyDescent="0.25">
      <c r="A1014" s="6">
        <v>45074</v>
      </c>
      <c r="B1014" s="1" t="s">
        <v>2038</v>
      </c>
      <c r="C1014" s="3" t="str">
        <f>TRIM(CLEAN(PROPER(tblClean[[#This Row],[Transaction Description]])))</f>
        <v>Reduce Hour Fish Him.</v>
      </c>
      <c r="D1014" s="1" t="s">
        <v>30</v>
      </c>
      <c r="E1014" s="3" t="str">
        <f>TRIM(CLEAN(PROPER(tblClean[[#This Row],[Category]])))</f>
        <v>Entertainment</v>
      </c>
      <c r="F1014" s="10" t="s">
        <v>2039</v>
      </c>
      <c r="G1014" s="1" t="s">
        <v>8</v>
      </c>
      <c r="H1014" s="15">
        <f>MONTH(tblClean[[#This Row],[Date]])</f>
        <v>5</v>
      </c>
      <c r="I1014" s="15">
        <f>YEAR(tblClean[[#This Row],[Date]])</f>
        <v>2023</v>
      </c>
    </row>
    <row r="1015" spans="1:9" x14ac:dyDescent="0.25">
      <c r="A1015" s="7">
        <v>45075</v>
      </c>
      <c r="B1015" s="2" t="s">
        <v>2040</v>
      </c>
      <c r="C1015" s="4" t="str">
        <f>TRIM(CLEAN(PROPER(tblClean[[#This Row],[Transaction Description]])))</f>
        <v>Nation Production Little Could.</v>
      </c>
      <c r="D1015" s="2" t="s">
        <v>16</v>
      </c>
      <c r="E1015" s="3" t="str">
        <f>TRIM(CLEAN(PROPER(tblClean[[#This Row],[Category]])))</f>
        <v>Investment</v>
      </c>
      <c r="F1015" s="11" t="s">
        <v>2041</v>
      </c>
      <c r="G1015" s="2" t="s">
        <v>18</v>
      </c>
      <c r="H1015" s="15">
        <f>MONTH(tblClean[[#This Row],[Date]])</f>
        <v>5</v>
      </c>
      <c r="I1015" s="15">
        <f>YEAR(tblClean[[#This Row],[Date]])</f>
        <v>2023</v>
      </c>
    </row>
    <row r="1016" spans="1:9" x14ac:dyDescent="0.25">
      <c r="A1016" s="6">
        <v>45075</v>
      </c>
      <c r="B1016" s="1" t="s">
        <v>2042</v>
      </c>
      <c r="C1016" s="3" t="str">
        <f>TRIM(CLEAN(PROPER(tblClean[[#This Row],[Transaction Description]])))</f>
        <v>Style Child Young Prove.</v>
      </c>
      <c r="D1016" s="1" t="s">
        <v>27</v>
      </c>
      <c r="E1016" s="3" t="str">
        <f>TRIM(CLEAN(PROPER(tblClean[[#This Row],[Category]])))</f>
        <v>Other</v>
      </c>
      <c r="F1016" s="10" t="s">
        <v>2043</v>
      </c>
      <c r="G1016" s="1" t="s">
        <v>18</v>
      </c>
      <c r="H1016" s="15">
        <f>MONTH(tblClean[[#This Row],[Date]])</f>
        <v>5</v>
      </c>
      <c r="I1016" s="15">
        <f>YEAR(tblClean[[#This Row],[Date]])</f>
        <v>2023</v>
      </c>
    </row>
    <row r="1017" spans="1:9" x14ac:dyDescent="0.25">
      <c r="A1017" s="7">
        <v>45076</v>
      </c>
      <c r="B1017" s="2" t="s">
        <v>2044</v>
      </c>
      <c r="C1017" s="4" t="str">
        <f>TRIM(CLEAN(PROPER(tblClean[[#This Row],[Transaction Description]])))</f>
        <v>Author Administration.</v>
      </c>
      <c r="D1017" s="2" t="s">
        <v>16</v>
      </c>
      <c r="E1017" s="3" t="str">
        <f>TRIM(CLEAN(PROPER(tblClean[[#This Row],[Category]])))</f>
        <v>Investment</v>
      </c>
      <c r="F1017" s="11" t="s">
        <v>2045</v>
      </c>
      <c r="G1017" s="2" t="s">
        <v>18</v>
      </c>
      <c r="H1017" s="15">
        <f>MONTH(tblClean[[#This Row],[Date]])</f>
        <v>5</v>
      </c>
      <c r="I1017" s="15">
        <f>YEAR(tblClean[[#This Row],[Date]])</f>
        <v>2023</v>
      </c>
    </row>
    <row r="1018" spans="1:9" x14ac:dyDescent="0.25">
      <c r="A1018" s="6">
        <v>45079</v>
      </c>
      <c r="B1018" s="1" t="s">
        <v>2046</v>
      </c>
      <c r="C1018" s="3" t="str">
        <f>TRIM(CLEAN(PROPER(tblClean[[#This Row],[Transaction Description]])))</f>
        <v>Window Career Case South.</v>
      </c>
      <c r="D1018" s="1" t="s">
        <v>16</v>
      </c>
      <c r="E1018" s="3" t="str">
        <f>TRIM(CLEAN(PROPER(tblClean[[#This Row],[Category]])))</f>
        <v>Investment</v>
      </c>
      <c r="F1018" s="10" t="s">
        <v>2047</v>
      </c>
      <c r="G1018" s="1" t="s">
        <v>18</v>
      </c>
      <c r="H1018" s="15">
        <f>MONTH(tblClean[[#This Row],[Date]])</f>
        <v>6</v>
      </c>
      <c r="I1018" s="15">
        <f>YEAR(tblClean[[#This Row],[Date]])</f>
        <v>2023</v>
      </c>
    </row>
    <row r="1019" spans="1:9" x14ac:dyDescent="0.25">
      <c r="A1019" s="7">
        <v>45080</v>
      </c>
      <c r="B1019" s="2" t="s">
        <v>2048</v>
      </c>
      <c r="C1019" s="4" t="str">
        <f>TRIM(CLEAN(PROPER(tblClean[[#This Row],[Transaction Description]])))</f>
        <v>Us Perhaps Lawyer Interest Star.</v>
      </c>
      <c r="D1019" s="2" t="s">
        <v>13</v>
      </c>
      <c r="E1019" s="3" t="str">
        <f>TRIM(CLEAN(PROPER(tblClean[[#This Row],[Category]])))</f>
        <v>Rent</v>
      </c>
      <c r="F1019" s="11" t="s">
        <v>2049</v>
      </c>
      <c r="G1019" s="2" t="s">
        <v>8</v>
      </c>
      <c r="H1019" s="15">
        <f>MONTH(tblClean[[#This Row],[Date]])</f>
        <v>6</v>
      </c>
      <c r="I1019" s="15">
        <f>YEAR(tblClean[[#This Row],[Date]])</f>
        <v>2023</v>
      </c>
    </row>
    <row r="1020" spans="1:9" x14ac:dyDescent="0.25">
      <c r="A1020" s="6">
        <v>45081</v>
      </c>
      <c r="B1020" s="1" t="s">
        <v>2050</v>
      </c>
      <c r="C1020" s="3" t="str">
        <f>TRIM(CLEAN(PROPER(tblClean[[#This Row],[Transaction Description]])))</f>
        <v>Difficult Interesting Account Marriage.</v>
      </c>
      <c r="D1020" s="1" t="s">
        <v>38</v>
      </c>
      <c r="E1020" s="3" t="str">
        <f>TRIM(CLEAN(PROPER(tblClean[[#This Row],[Category]])))</f>
        <v>Salary</v>
      </c>
      <c r="F1020" s="10" t="s">
        <v>2051</v>
      </c>
      <c r="G1020" s="1" t="s">
        <v>8</v>
      </c>
      <c r="H1020" s="15">
        <f>MONTH(tblClean[[#This Row],[Date]])</f>
        <v>6</v>
      </c>
      <c r="I1020" s="15">
        <f>YEAR(tblClean[[#This Row],[Date]])</f>
        <v>2023</v>
      </c>
    </row>
    <row r="1021" spans="1:9" x14ac:dyDescent="0.25">
      <c r="A1021" s="7">
        <v>45082</v>
      </c>
      <c r="B1021" s="2" t="s">
        <v>2052</v>
      </c>
      <c r="C1021" s="4" t="str">
        <f>TRIM(CLEAN(PROPER(tblClean[[#This Row],[Transaction Description]])))</f>
        <v>Especially Unit Office Almost.</v>
      </c>
      <c r="D1021" s="2" t="s">
        <v>10</v>
      </c>
      <c r="E1021" s="3" t="str">
        <f>TRIM(CLEAN(PROPER(tblClean[[#This Row],[Category]])))</f>
        <v>Utilities</v>
      </c>
      <c r="F1021" s="11" t="s">
        <v>2053</v>
      </c>
      <c r="G1021" s="2" t="s">
        <v>8</v>
      </c>
      <c r="H1021" s="15">
        <f>MONTH(tblClean[[#This Row],[Date]])</f>
        <v>6</v>
      </c>
      <c r="I1021" s="15">
        <f>YEAR(tblClean[[#This Row],[Date]])</f>
        <v>2023</v>
      </c>
    </row>
    <row r="1022" spans="1:9" x14ac:dyDescent="0.25">
      <c r="A1022" s="7">
        <v>45085</v>
      </c>
      <c r="B1022" s="2" t="s">
        <v>2056</v>
      </c>
      <c r="C1022" s="4" t="str">
        <f>TRIM(CLEAN(PROPER(tblClean[[#This Row],[Transaction Description]])))</f>
        <v>Let Back Three.</v>
      </c>
      <c r="D1022" s="2" t="s">
        <v>30</v>
      </c>
      <c r="E1022" s="3" t="str">
        <f>TRIM(CLEAN(PROPER(tblClean[[#This Row],[Category]])))</f>
        <v>Entertainment</v>
      </c>
      <c r="F1022" s="11" t="s">
        <v>2057</v>
      </c>
      <c r="G1022" s="2" t="s">
        <v>8</v>
      </c>
      <c r="H1022" s="15">
        <f>MONTH(tblClean[[#This Row],[Date]])</f>
        <v>6</v>
      </c>
      <c r="I1022" s="15">
        <f>YEAR(tblClean[[#This Row],[Date]])</f>
        <v>2023</v>
      </c>
    </row>
    <row r="1023" spans="1:9" x14ac:dyDescent="0.25">
      <c r="A1023" s="6">
        <v>45085</v>
      </c>
      <c r="B1023" s="1" t="s">
        <v>2054</v>
      </c>
      <c r="C1023" s="3" t="str">
        <f>TRIM(CLEAN(PROPER(tblClean[[#This Row],[Transaction Description]])))</f>
        <v>Low Happy Oil Which Bag.</v>
      </c>
      <c r="D1023" s="1" t="s">
        <v>6</v>
      </c>
      <c r="E1023" s="3" t="str">
        <f>TRIM(CLEAN(PROPER(tblClean[[#This Row],[Category]])))</f>
        <v>Food &amp; Drink</v>
      </c>
      <c r="F1023" s="10" t="s">
        <v>2055</v>
      </c>
      <c r="G1023" s="1" t="s">
        <v>8</v>
      </c>
      <c r="H1023" s="15">
        <f>MONTH(tblClean[[#This Row],[Date]])</f>
        <v>6</v>
      </c>
      <c r="I1023" s="15">
        <f>YEAR(tblClean[[#This Row],[Date]])</f>
        <v>2023</v>
      </c>
    </row>
    <row r="1024" spans="1:9" x14ac:dyDescent="0.25">
      <c r="A1024" s="7">
        <v>45086</v>
      </c>
      <c r="B1024" s="2" t="s">
        <v>2060</v>
      </c>
      <c r="C1024" s="4" t="str">
        <f>TRIM(CLEAN(PROPER(tblClean[[#This Row],[Transaction Description]])))</f>
        <v>Something Fine Apply Gas Sing.</v>
      </c>
      <c r="D1024" s="2" t="s">
        <v>13</v>
      </c>
      <c r="E1024" s="3" t="str">
        <f>TRIM(CLEAN(PROPER(tblClean[[#This Row],[Category]])))</f>
        <v>Rent</v>
      </c>
      <c r="F1024" s="11" t="s">
        <v>2061</v>
      </c>
      <c r="G1024" s="2" t="s">
        <v>8</v>
      </c>
      <c r="H1024" s="15">
        <f>MONTH(tblClean[[#This Row],[Date]])</f>
        <v>6</v>
      </c>
      <c r="I1024" s="15">
        <f>YEAR(tblClean[[#This Row],[Date]])</f>
        <v>2023</v>
      </c>
    </row>
    <row r="1025" spans="1:9" x14ac:dyDescent="0.25">
      <c r="A1025" s="6">
        <v>45086</v>
      </c>
      <c r="B1025" s="1" t="s">
        <v>2058</v>
      </c>
      <c r="C1025" s="3" t="str">
        <f>TRIM(CLEAN(PROPER(tblClean[[#This Row],[Transaction Description]])))</f>
        <v>Line Score Whether.</v>
      </c>
      <c r="D1025" s="1" t="s">
        <v>53</v>
      </c>
      <c r="E1025" s="3" t="str">
        <f>TRIM(CLEAN(PROPER(tblClean[[#This Row],[Category]])))</f>
        <v>Travel</v>
      </c>
      <c r="F1025" s="10" t="s">
        <v>2059</v>
      </c>
      <c r="G1025" s="1" t="s">
        <v>8</v>
      </c>
      <c r="H1025" s="15">
        <f>MONTH(tblClean[[#This Row],[Date]])</f>
        <v>6</v>
      </c>
      <c r="I1025" s="15">
        <f>YEAR(tblClean[[#This Row],[Date]])</f>
        <v>2023</v>
      </c>
    </row>
    <row r="1026" spans="1:9" x14ac:dyDescent="0.25">
      <c r="A1026" s="6">
        <v>45087</v>
      </c>
      <c r="B1026" s="1" t="s">
        <v>2062</v>
      </c>
      <c r="C1026" s="3" t="str">
        <f>TRIM(CLEAN(PROPER(tblClean[[#This Row],[Transaction Description]])))</f>
        <v>Mention Light Safe Inside.</v>
      </c>
      <c r="D1026" s="1" t="s">
        <v>38</v>
      </c>
      <c r="E1026" s="3" t="str">
        <f>TRIM(CLEAN(PROPER(tblClean[[#This Row],[Category]])))</f>
        <v>Salary</v>
      </c>
      <c r="F1026" s="10" t="s">
        <v>2063</v>
      </c>
      <c r="G1026" s="1" t="s">
        <v>8</v>
      </c>
      <c r="H1026" s="15">
        <f>MONTH(tblClean[[#This Row],[Date]])</f>
        <v>6</v>
      </c>
      <c r="I1026" s="15">
        <f>YEAR(tblClean[[#This Row],[Date]])</f>
        <v>2023</v>
      </c>
    </row>
    <row r="1027" spans="1:9" x14ac:dyDescent="0.25">
      <c r="A1027" s="7">
        <v>45087</v>
      </c>
      <c r="B1027" s="2" t="s">
        <v>2064</v>
      </c>
      <c r="C1027" s="4" t="str">
        <f>TRIM(CLEAN(PROPER(tblClean[[#This Row],[Transaction Description]])))</f>
        <v>Cold Reason Our.</v>
      </c>
      <c r="D1027" s="2" t="s">
        <v>22</v>
      </c>
      <c r="E1027" s="3" t="str">
        <f>TRIM(CLEAN(PROPER(tblClean[[#This Row],[Category]])))</f>
        <v>Shopping</v>
      </c>
      <c r="F1027" s="11" t="s">
        <v>2065</v>
      </c>
      <c r="G1027" s="2" t="s">
        <v>8</v>
      </c>
      <c r="H1027" s="15">
        <f>MONTH(tblClean[[#This Row],[Date]])</f>
        <v>6</v>
      </c>
      <c r="I1027" s="15">
        <f>YEAR(tblClean[[#This Row],[Date]])</f>
        <v>2023</v>
      </c>
    </row>
    <row r="1028" spans="1:9" x14ac:dyDescent="0.25">
      <c r="A1028" s="6">
        <v>45090</v>
      </c>
      <c r="B1028" s="1" t="s">
        <v>2066</v>
      </c>
      <c r="C1028" s="3" t="str">
        <f>TRIM(CLEAN(PROPER(tblClean[[#This Row],[Transaction Description]])))</f>
        <v>Employee Picture Official Of Prevent.</v>
      </c>
      <c r="D1028" s="1" t="s">
        <v>38</v>
      </c>
      <c r="E1028" s="3" t="str">
        <f>TRIM(CLEAN(PROPER(tblClean[[#This Row],[Category]])))</f>
        <v>Salary</v>
      </c>
      <c r="F1028" s="10" t="s">
        <v>2067</v>
      </c>
      <c r="G1028" s="1" t="s">
        <v>8</v>
      </c>
      <c r="H1028" s="15">
        <f>MONTH(tblClean[[#This Row],[Date]])</f>
        <v>6</v>
      </c>
      <c r="I1028" s="15">
        <f>YEAR(tblClean[[#This Row],[Date]])</f>
        <v>2023</v>
      </c>
    </row>
    <row r="1029" spans="1:9" x14ac:dyDescent="0.25">
      <c r="A1029" s="7">
        <v>45092</v>
      </c>
      <c r="B1029" s="2" t="s">
        <v>2068</v>
      </c>
      <c r="C1029" s="4" t="str">
        <f>TRIM(CLEAN(PROPER(tblClean[[#This Row],[Transaction Description]])))</f>
        <v>Agree Machine Camera Baby Six.</v>
      </c>
      <c r="D1029" s="2" t="s">
        <v>16</v>
      </c>
      <c r="E1029" s="3" t="str">
        <f>TRIM(CLEAN(PROPER(tblClean[[#This Row],[Category]])))</f>
        <v>Investment</v>
      </c>
      <c r="F1029" s="11" t="s">
        <v>2069</v>
      </c>
      <c r="G1029" s="2" t="s">
        <v>18</v>
      </c>
      <c r="H1029" s="15">
        <f>MONTH(tblClean[[#This Row],[Date]])</f>
        <v>6</v>
      </c>
      <c r="I1029" s="15">
        <f>YEAR(tblClean[[#This Row],[Date]])</f>
        <v>2023</v>
      </c>
    </row>
    <row r="1030" spans="1:9" x14ac:dyDescent="0.25">
      <c r="A1030" s="6">
        <v>45093</v>
      </c>
      <c r="B1030" s="1" t="s">
        <v>2070</v>
      </c>
      <c r="C1030" s="3" t="str">
        <f>TRIM(CLEAN(PROPER(tblClean[[#This Row],[Transaction Description]])))</f>
        <v>Past Every Either.</v>
      </c>
      <c r="D1030" s="1" t="s">
        <v>38</v>
      </c>
      <c r="E1030" s="3" t="str">
        <f>TRIM(CLEAN(PROPER(tblClean[[#This Row],[Category]])))</f>
        <v>Salary</v>
      </c>
      <c r="F1030" s="10" t="s">
        <v>2071</v>
      </c>
      <c r="G1030" s="1" t="s">
        <v>8</v>
      </c>
      <c r="H1030" s="15">
        <f>MONTH(tblClean[[#This Row],[Date]])</f>
        <v>6</v>
      </c>
      <c r="I1030" s="15">
        <f>YEAR(tblClean[[#This Row],[Date]])</f>
        <v>2023</v>
      </c>
    </row>
    <row r="1031" spans="1:9" x14ac:dyDescent="0.25">
      <c r="A1031" s="7">
        <v>45093</v>
      </c>
      <c r="B1031" s="2" t="s">
        <v>2072</v>
      </c>
      <c r="C1031" s="4" t="str">
        <f>TRIM(CLEAN(PROPER(tblClean[[#This Row],[Transaction Description]])))</f>
        <v>Company Option Character Land Space.</v>
      </c>
      <c r="D1031" s="2" t="s">
        <v>22</v>
      </c>
      <c r="E1031" s="3" t="str">
        <f>TRIM(CLEAN(PROPER(tblClean[[#This Row],[Category]])))</f>
        <v>Shopping</v>
      </c>
      <c r="F1031" s="11" t="s">
        <v>2073</v>
      </c>
      <c r="G1031" s="2" t="s">
        <v>8</v>
      </c>
      <c r="H1031" s="15">
        <f>MONTH(tblClean[[#This Row],[Date]])</f>
        <v>6</v>
      </c>
      <c r="I1031" s="15">
        <f>YEAR(tblClean[[#This Row],[Date]])</f>
        <v>2023</v>
      </c>
    </row>
    <row r="1032" spans="1:9" x14ac:dyDescent="0.25">
      <c r="A1032" s="6">
        <v>45094</v>
      </c>
      <c r="B1032" s="1" t="s">
        <v>2074</v>
      </c>
      <c r="C1032" s="3" t="str">
        <f>TRIM(CLEAN(PROPER(tblClean[[#This Row],[Transaction Description]])))</f>
        <v>Machine Son Television.</v>
      </c>
      <c r="D1032" s="1" t="s">
        <v>53</v>
      </c>
      <c r="E1032" s="3" t="str">
        <f>TRIM(CLEAN(PROPER(tblClean[[#This Row],[Category]])))</f>
        <v>Travel</v>
      </c>
      <c r="F1032" s="10" t="s">
        <v>2075</v>
      </c>
      <c r="G1032" s="1" t="s">
        <v>8</v>
      </c>
      <c r="H1032" s="15">
        <f>MONTH(tblClean[[#This Row],[Date]])</f>
        <v>6</v>
      </c>
      <c r="I1032" s="15">
        <f>YEAR(tblClean[[#This Row],[Date]])</f>
        <v>2023</v>
      </c>
    </row>
    <row r="1033" spans="1:9" x14ac:dyDescent="0.25">
      <c r="A1033" s="7">
        <v>45094</v>
      </c>
      <c r="B1033" s="2" t="s">
        <v>2076</v>
      </c>
      <c r="C1033" s="4" t="str">
        <f>TRIM(CLEAN(PROPER(tblClean[[#This Row],[Transaction Description]])))</f>
        <v>Whose Other.</v>
      </c>
      <c r="D1033" s="2" t="s">
        <v>10</v>
      </c>
      <c r="E1033" s="3" t="str">
        <f>TRIM(CLEAN(PROPER(tblClean[[#This Row],[Category]])))</f>
        <v>Utilities</v>
      </c>
      <c r="F1033" s="11" t="s">
        <v>2077</v>
      </c>
      <c r="G1033" s="2" t="s">
        <v>8</v>
      </c>
      <c r="H1033" s="15">
        <f>MONTH(tblClean[[#This Row],[Date]])</f>
        <v>6</v>
      </c>
      <c r="I1033" s="15">
        <f>YEAR(tblClean[[#This Row],[Date]])</f>
        <v>2023</v>
      </c>
    </row>
    <row r="1034" spans="1:9" x14ac:dyDescent="0.25">
      <c r="A1034" s="6">
        <v>45096</v>
      </c>
      <c r="B1034" s="1" t="s">
        <v>2078</v>
      </c>
      <c r="C1034" s="3" t="str">
        <f>TRIM(CLEAN(PROPER(tblClean[[#This Row],[Transaction Description]])))</f>
        <v>Sell Include Himself Produce.</v>
      </c>
      <c r="D1034" s="1" t="s">
        <v>10</v>
      </c>
      <c r="E1034" s="3" t="str">
        <f>TRIM(CLEAN(PROPER(tblClean[[#This Row],[Category]])))</f>
        <v>Utilities</v>
      </c>
      <c r="F1034" s="10" t="s">
        <v>2079</v>
      </c>
      <c r="G1034" s="1" t="s">
        <v>8</v>
      </c>
      <c r="H1034" s="15">
        <f>MONTH(tblClean[[#This Row],[Date]])</f>
        <v>6</v>
      </c>
      <c r="I1034" s="15">
        <f>YEAR(tblClean[[#This Row],[Date]])</f>
        <v>2023</v>
      </c>
    </row>
    <row r="1035" spans="1:9" x14ac:dyDescent="0.25">
      <c r="A1035" s="7">
        <v>45098</v>
      </c>
      <c r="B1035" s="2" t="s">
        <v>2080</v>
      </c>
      <c r="C1035" s="4" t="str">
        <f>TRIM(CLEAN(PROPER(tblClean[[#This Row],[Transaction Description]])))</f>
        <v>Official Success Approach.</v>
      </c>
      <c r="D1035" s="2" t="s">
        <v>38</v>
      </c>
      <c r="E1035" s="3" t="str">
        <f>TRIM(CLEAN(PROPER(tblClean[[#This Row],[Category]])))</f>
        <v>Salary</v>
      </c>
      <c r="F1035" s="11" t="s">
        <v>2081</v>
      </c>
      <c r="G1035" s="2" t="s">
        <v>8</v>
      </c>
      <c r="H1035" s="15">
        <f>MONTH(tblClean[[#This Row],[Date]])</f>
        <v>6</v>
      </c>
      <c r="I1035" s="15">
        <f>YEAR(tblClean[[#This Row],[Date]])</f>
        <v>2023</v>
      </c>
    </row>
    <row r="1036" spans="1:9" x14ac:dyDescent="0.25">
      <c r="A1036" s="6">
        <v>45099</v>
      </c>
      <c r="B1036" s="1" t="s">
        <v>2082</v>
      </c>
      <c r="C1036" s="3" t="str">
        <f>TRIM(CLEAN(PROPER(tblClean[[#This Row],[Transaction Description]])))</f>
        <v>Apply Less.</v>
      </c>
      <c r="D1036" s="1" t="s">
        <v>6</v>
      </c>
      <c r="E1036" s="3" t="str">
        <f>TRIM(CLEAN(PROPER(tblClean[[#This Row],[Category]])))</f>
        <v>Food &amp; Drink</v>
      </c>
      <c r="F1036" s="10" t="s">
        <v>2083</v>
      </c>
      <c r="G1036" s="1" t="s">
        <v>8</v>
      </c>
      <c r="H1036" s="15">
        <f>MONTH(tblClean[[#This Row],[Date]])</f>
        <v>6</v>
      </c>
      <c r="I1036" s="15">
        <f>YEAR(tblClean[[#This Row],[Date]])</f>
        <v>2023</v>
      </c>
    </row>
    <row r="1037" spans="1:9" x14ac:dyDescent="0.25">
      <c r="A1037" s="7">
        <v>45099</v>
      </c>
      <c r="B1037" s="2" t="s">
        <v>2084</v>
      </c>
      <c r="C1037" s="4" t="str">
        <f>TRIM(CLEAN(PROPER(tblClean[[#This Row],[Transaction Description]])))</f>
        <v>Live Way Two.</v>
      </c>
      <c r="D1037" s="2" t="s">
        <v>13</v>
      </c>
      <c r="E1037" s="3" t="str">
        <f>TRIM(CLEAN(PROPER(tblClean[[#This Row],[Category]])))</f>
        <v>Rent</v>
      </c>
      <c r="F1037" s="11" t="s">
        <v>2085</v>
      </c>
      <c r="G1037" s="2" t="s">
        <v>8</v>
      </c>
      <c r="H1037" s="15">
        <f>MONTH(tblClean[[#This Row],[Date]])</f>
        <v>6</v>
      </c>
      <c r="I1037" s="15">
        <f>YEAR(tblClean[[#This Row],[Date]])</f>
        <v>2023</v>
      </c>
    </row>
    <row r="1038" spans="1:9" x14ac:dyDescent="0.25">
      <c r="A1038" s="6">
        <v>45100</v>
      </c>
      <c r="B1038" s="1" t="s">
        <v>2086</v>
      </c>
      <c r="C1038" s="3" t="str">
        <f>TRIM(CLEAN(PROPER(tblClean[[#This Row],[Transaction Description]])))</f>
        <v>Raise Hope Enjoy Most.</v>
      </c>
      <c r="D1038" s="1" t="s">
        <v>22</v>
      </c>
      <c r="E1038" s="3" t="str">
        <f>TRIM(CLEAN(PROPER(tblClean[[#This Row],[Category]])))</f>
        <v>Shopping</v>
      </c>
      <c r="F1038" s="10" t="s">
        <v>2087</v>
      </c>
      <c r="G1038" s="1" t="s">
        <v>8</v>
      </c>
      <c r="H1038" s="15">
        <f>MONTH(tblClean[[#This Row],[Date]])</f>
        <v>6</v>
      </c>
      <c r="I1038" s="15">
        <f>YEAR(tblClean[[#This Row],[Date]])</f>
        <v>2023</v>
      </c>
    </row>
    <row r="1039" spans="1:9" x14ac:dyDescent="0.25">
      <c r="A1039" s="7">
        <v>45102</v>
      </c>
      <c r="B1039" s="2" t="s">
        <v>2088</v>
      </c>
      <c r="C1039" s="4" t="str">
        <f>TRIM(CLEAN(PROPER(tblClean[[#This Row],[Transaction Description]])))</f>
        <v>Eye Something.</v>
      </c>
      <c r="D1039" s="2" t="s">
        <v>6</v>
      </c>
      <c r="E1039" s="3" t="str">
        <f>TRIM(CLEAN(PROPER(tblClean[[#This Row],[Category]])))</f>
        <v>Food &amp; Drink</v>
      </c>
      <c r="F1039" s="11" t="s">
        <v>2089</v>
      </c>
      <c r="G1039" s="2" t="s">
        <v>8</v>
      </c>
      <c r="H1039" s="15">
        <f>MONTH(tblClean[[#This Row],[Date]])</f>
        <v>6</v>
      </c>
      <c r="I1039" s="15">
        <f>YEAR(tblClean[[#This Row],[Date]])</f>
        <v>2023</v>
      </c>
    </row>
    <row r="1040" spans="1:9" x14ac:dyDescent="0.25">
      <c r="A1040" s="7">
        <v>45102</v>
      </c>
      <c r="B1040" s="2" t="s">
        <v>2092</v>
      </c>
      <c r="C1040" s="4" t="str">
        <f>TRIM(CLEAN(PROPER(tblClean[[#This Row],[Transaction Description]])))</f>
        <v>Particular Present Evening Establish.</v>
      </c>
      <c r="D1040" s="2" t="s">
        <v>38</v>
      </c>
      <c r="E1040" s="3" t="str">
        <f>TRIM(CLEAN(PROPER(tblClean[[#This Row],[Category]])))</f>
        <v>Salary</v>
      </c>
      <c r="F1040" s="11" t="s">
        <v>2093</v>
      </c>
      <c r="G1040" s="2" t="s">
        <v>8</v>
      </c>
      <c r="H1040" s="15">
        <f>MONTH(tblClean[[#This Row],[Date]])</f>
        <v>6</v>
      </c>
      <c r="I1040" s="15">
        <f>YEAR(tblClean[[#This Row],[Date]])</f>
        <v>2023</v>
      </c>
    </row>
    <row r="1041" spans="1:9" x14ac:dyDescent="0.25">
      <c r="A1041" s="6">
        <v>45102</v>
      </c>
      <c r="B1041" s="1" t="s">
        <v>2090</v>
      </c>
      <c r="C1041" s="3" t="str">
        <f>TRIM(CLEAN(PROPER(tblClean[[#This Row],[Transaction Description]])))</f>
        <v>Which Raise American Truth.</v>
      </c>
      <c r="D1041" s="1" t="s">
        <v>22</v>
      </c>
      <c r="E1041" s="3" t="str">
        <f>TRIM(CLEAN(PROPER(tblClean[[#This Row],[Category]])))</f>
        <v>Shopping</v>
      </c>
      <c r="F1041" s="10" t="s">
        <v>2091</v>
      </c>
      <c r="G1041" s="1" t="s">
        <v>8</v>
      </c>
      <c r="H1041" s="15">
        <f>MONTH(tblClean[[#This Row],[Date]])</f>
        <v>6</v>
      </c>
      <c r="I1041" s="15">
        <f>YEAR(tblClean[[#This Row],[Date]])</f>
        <v>2023</v>
      </c>
    </row>
    <row r="1042" spans="1:9" x14ac:dyDescent="0.25">
      <c r="A1042" s="6">
        <v>45103</v>
      </c>
      <c r="B1042" s="1" t="s">
        <v>2094</v>
      </c>
      <c r="C1042" s="3" t="str">
        <f>TRIM(CLEAN(PROPER(tblClean[[#This Row],[Transaction Description]])))</f>
        <v>Pressure Hospital Significant.</v>
      </c>
      <c r="D1042" s="1" t="s">
        <v>53</v>
      </c>
      <c r="E1042" s="3" t="str">
        <f>TRIM(CLEAN(PROPER(tblClean[[#This Row],[Category]])))</f>
        <v>Travel</v>
      </c>
      <c r="F1042" s="10" t="s">
        <v>2095</v>
      </c>
      <c r="G1042" s="1" t="s">
        <v>8</v>
      </c>
      <c r="H1042" s="15">
        <f>MONTH(tblClean[[#This Row],[Date]])</f>
        <v>6</v>
      </c>
      <c r="I1042" s="15">
        <f>YEAR(tblClean[[#This Row],[Date]])</f>
        <v>2023</v>
      </c>
    </row>
    <row r="1043" spans="1:9" x14ac:dyDescent="0.25">
      <c r="A1043" s="7">
        <v>45107</v>
      </c>
      <c r="B1043" s="2" t="s">
        <v>2096</v>
      </c>
      <c r="C1043" s="4" t="str">
        <f>TRIM(CLEAN(PROPER(tblClean[[#This Row],[Transaction Description]])))</f>
        <v>Side Mind Question Year Finish.</v>
      </c>
      <c r="D1043" s="2" t="s">
        <v>6</v>
      </c>
      <c r="E1043" s="3" t="str">
        <f>TRIM(CLEAN(PROPER(tblClean[[#This Row],[Category]])))</f>
        <v>Food &amp; Drink</v>
      </c>
      <c r="F1043" s="11" t="s">
        <v>2097</v>
      </c>
      <c r="G1043" s="2" t="s">
        <v>8</v>
      </c>
      <c r="H1043" s="15">
        <f>MONTH(tblClean[[#This Row],[Date]])</f>
        <v>6</v>
      </c>
      <c r="I1043" s="15">
        <f>YEAR(tblClean[[#This Row],[Date]])</f>
        <v>2023</v>
      </c>
    </row>
    <row r="1044" spans="1:9" x14ac:dyDescent="0.25">
      <c r="A1044" s="6">
        <v>45108</v>
      </c>
      <c r="B1044" s="1" t="s">
        <v>2098</v>
      </c>
      <c r="C1044" s="3" t="str">
        <f>TRIM(CLEAN(PROPER(tblClean[[#This Row],[Transaction Description]])))</f>
        <v>Story Activity.</v>
      </c>
      <c r="D1044" s="1" t="s">
        <v>10</v>
      </c>
      <c r="E1044" s="3" t="str">
        <f>TRIM(CLEAN(PROPER(tblClean[[#This Row],[Category]])))</f>
        <v>Utilities</v>
      </c>
      <c r="F1044" s="10" t="s">
        <v>2099</v>
      </c>
      <c r="G1044" s="1" t="s">
        <v>8</v>
      </c>
      <c r="H1044" s="15">
        <f>MONTH(tblClean[[#This Row],[Date]])</f>
        <v>7</v>
      </c>
      <c r="I1044" s="15">
        <f>YEAR(tblClean[[#This Row],[Date]])</f>
        <v>2023</v>
      </c>
    </row>
    <row r="1045" spans="1:9" x14ac:dyDescent="0.25">
      <c r="A1045" s="7">
        <v>45109</v>
      </c>
      <c r="B1045" s="2" t="s">
        <v>2100</v>
      </c>
      <c r="C1045" s="4" t="str">
        <f>TRIM(CLEAN(PROPER(tblClean[[#This Row],[Transaction Description]])))</f>
        <v>Billion Land Detail Exist Cover.</v>
      </c>
      <c r="D1045" s="2" t="s">
        <v>10</v>
      </c>
      <c r="E1045" s="3" t="str">
        <f>TRIM(CLEAN(PROPER(tblClean[[#This Row],[Category]])))</f>
        <v>Utilities</v>
      </c>
      <c r="F1045" s="11" t="s">
        <v>2101</v>
      </c>
      <c r="G1045" s="2" t="s">
        <v>8</v>
      </c>
      <c r="H1045" s="15">
        <f>MONTH(tblClean[[#This Row],[Date]])</f>
        <v>7</v>
      </c>
      <c r="I1045" s="15">
        <f>YEAR(tblClean[[#This Row],[Date]])</f>
        <v>2023</v>
      </c>
    </row>
    <row r="1046" spans="1:9" x14ac:dyDescent="0.25">
      <c r="A1046" s="6">
        <v>45112</v>
      </c>
      <c r="B1046" s="1" t="s">
        <v>2102</v>
      </c>
      <c r="C1046" s="3" t="str">
        <f>TRIM(CLEAN(PROPER(tblClean[[#This Row],[Transaction Description]])))</f>
        <v>Begin Voice Prevent Structure Wear.</v>
      </c>
      <c r="D1046" s="1" t="s">
        <v>16</v>
      </c>
      <c r="E1046" s="3" t="str">
        <f>TRIM(CLEAN(PROPER(tblClean[[#This Row],[Category]])))</f>
        <v>Investment</v>
      </c>
      <c r="F1046" s="10" t="s">
        <v>2103</v>
      </c>
      <c r="G1046" s="1" t="s">
        <v>18</v>
      </c>
      <c r="H1046" s="15">
        <f>MONTH(tblClean[[#This Row],[Date]])</f>
        <v>7</v>
      </c>
      <c r="I1046" s="15">
        <f>YEAR(tblClean[[#This Row],[Date]])</f>
        <v>2023</v>
      </c>
    </row>
    <row r="1047" spans="1:9" x14ac:dyDescent="0.25">
      <c r="A1047" s="7">
        <v>45112</v>
      </c>
      <c r="B1047" s="2" t="s">
        <v>2104</v>
      </c>
      <c r="C1047" s="4" t="str">
        <f>TRIM(CLEAN(PROPER(tblClean[[#This Row],[Transaction Description]])))</f>
        <v>Beat Painting Heavy.</v>
      </c>
      <c r="D1047" s="2" t="s">
        <v>27</v>
      </c>
      <c r="E1047" s="3" t="str">
        <f>TRIM(CLEAN(PROPER(tblClean[[#This Row],[Category]])))</f>
        <v>Other</v>
      </c>
      <c r="F1047" s="11" t="s">
        <v>2105</v>
      </c>
      <c r="G1047" s="2" t="s">
        <v>18</v>
      </c>
      <c r="H1047" s="15">
        <f>MONTH(tblClean[[#This Row],[Date]])</f>
        <v>7</v>
      </c>
      <c r="I1047" s="15">
        <f>YEAR(tblClean[[#This Row],[Date]])</f>
        <v>2023</v>
      </c>
    </row>
    <row r="1048" spans="1:9" x14ac:dyDescent="0.25">
      <c r="A1048" s="6">
        <v>45113</v>
      </c>
      <c r="B1048" s="1" t="s">
        <v>2106</v>
      </c>
      <c r="C1048" s="3" t="str">
        <f>TRIM(CLEAN(PROPER(tblClean[[#This Row],[Transaction Description]])))</f>
        <v>To Receive Education.</v>
      </c>
      <c r="D1048" s="1" t="s">
        <v>22</v>
      </c>
      <c r="E1048" s="3" t="str">
        <f>TRIM(CLEAN(PROPER(tblClean[[#This Row],[Category]])))</f>
        <v>Shopping</v>
      </c>
      <c r="F1048" s="10" t="s">
        <v>2107</v>
      </c>
      <c r="G1048" s="1" t="s">
        <v>8</v>
      </c>
      <c r="H1048" s="15">
        <f>MONTH(tblClean[[#This Row],[Date]])</f>
        <v>7</v>
      </c>
      <c r="I1048" s="15">
        <f>YEAR(tblClean[[#This Row],[Date]])</f>
        <v>2023</v>
      </c>
    </row>
    <row r="1049" spans="1:9" x14ac:dyDescent="0.25">
      <c r="A1049" s="6">
        <v>45114</v>
      </c>
      <c r="B1049" s="1" t="s">
        <v>2110</v>
      </c>
      <c r="C1049" s="3" t="str">
        <f>TRIM(CLEAN(PROPER(tblClean[[#This Row],[Transaction Description]])))</f>
        <v>Realize Property Show Either.</v>
      </c>
      <c r="D1049" s="1" t="s">
        <v>13</v>
      </c>
      <c r="E1049" s="3" t="str">
        <f>TRIM(CLEAN(PROPER(tblClean[[#This Row],[Category]])))</f>
        <v>Rent</v>
      </c>
      <c r="F1049" s="10" t="s">
        <v>2111</v>
      </c>
      <c r="G1049" s="1" t="s">
        <v>8</v>
      </c>
      <c r="H1049" s="15">
        <f>MONTH(tblClean[[#This Row],[Date]])</f>
        <v>7</v>
      </c>
      <c r="I1049" s="15">
        <f>YEAR(tblClean[[#This Row],[Date]])</f>
        <v>2023</v>
      </c>
    </row>
    <row r="1050" spans="1:9" x14ac:dyDescent="0.25">
      <c r="A1050" s="7">
        <v>45114</v>
      </c>
      <c r="B1050" s="2" t="s">
        <v>2108</v>
      </c>
      <c r="C1050" s="4" t="str">
        <f>TRIM(CLEAN(PROPER(tblClean[[#This Row],[Transaction Description]])))</f>
        <v>Police Two.</v>
      </c>
      <c r="D1050" s="2" t="s">
        <v>10</v>
      </c>
      <c r="E1050" s="3" t="str">
        <f>TRIM(CLEAN(PROPER(tblClean[[#This Row],[Category]])))</f>
        <v>Utilities</v>
      </c>
      <c r="F1050" s="11" t="s">
        <v>2109</v>
      </c>
      <c r="G1050" s="2" t="s">
        <v>8</v>
      </c>
      <c r="H1050" s="15">
        <f>MONTH(tblClean[[#This Row],[Date]])</f>
        <v>7</v>
      </c>
      <c r="I1050" s="15">
        <f>YEAR(tblClean[[#This Row],[Date]])</f>
        <v>2023</v>
      </c>
    </row>
    <row r="1051" spans="1:9" x14ac:dyDescent="0.25">
      <c r="A1051" s="6">
        <v>45117</v>
      </c>
      <c r="B1051" s="1" t="s">
        <v>2114</v>
      </c>
      <c r="C1051" s="3" t="str">
        <f>TRIM(CLEAN(PROPER(tblClean[[#This Row],[Transaction Description]])))</f>
        <v>Western Enough Key.</v>
      </c>
      <c r="D1051" s="1" t="s">
        <v>6</v>
      </c>
      <c r="E1051" s="3" t="str">
        <f>TRIM(CLEAN(PROPER(tblClean[[#This Row],[Category]])))</f>
        <v>Food &amp; Drink</v>
      </c>
      <c r="F1051" s="10" t="s">
        <v>2115</v>
      </c>
      <c r="G1051" s="1" t="s">
        <v>8</v>
      </c>
      <c r="H1051" s="15">
        <f>MONTH(tblClean[[#This Row],[Date]])</f>
        <v>7</v>
      </c>
      <c r="I1051" s="15">
        <f>YEAR(tblClean[[#This Row],[Date]])</f>
        <v>2023</v>
      </c>
    </row>
    <row r="1052" spans="1:9" x14ac:dyDescent="0.25">
      <c r="A1052" s="7">
        <v>45117</v>
      </c>
      <c r="B1052" s="2" t="s">
        <v>2112</v>
      </c>
      <c r="C1052" s="4" t="str">
        <f>TRIM(CLEAN(PROPER(tblClean[[#This Row],[Transaction Description]])))</f>
        <v>Since Him Four.</v>
      </c>
      <c r="D1052" s="2" t="s">
        <v>35</v>
      </c>
      <c r="E1052" s="3" t="str">
        <f>TRIM(CLEAN(PROPER(tblClean[[#This Row],[Category]])))</f>
        <v>Health &amp; Fitness</v>
      </c>
      <c r="F1052" s="11" t="s">
        <v>2113</v>
      </c>
      <c r="G1052" s="2" t="s">
        <v>8</v>
      </c>
      <c r="H1052" s="15">
        <f>MONTH(tblClean[[#This Row],[Date]])</f>
        <v>7</v>
      </c>
      <c r="I1052" s="15">
        <f>YEAR(tblClean[[#This Row],[Date]])</f>
        <v>2023</v>
      </c>
    </row>
    <row r="1053" spans="1:9" x14ac:dyDescent="0.25">
      <c r="A1053" s="6">
        <v>45117</v>
      </c>
      <c r="B1053" s="1" t="s">
        <v>2118</v>
      </c>
      <c r="C1053" s="3" t="str">
        <f>TRIM(CLEAN(PROPER(tblClean[[#This Row],[Transaction Description]])))</f>
        <v>Shoulder Despite Poor Tree Resource.</v>
      </c>
      <c r="D1053" s="1" t="s">
        <v>16</v>
      </c>
      <c r="E1053" s="3" t="str">
        <f>TRIM(CLEAN(PROPER(tblClean[[#This Row],[Category]])))</f>
        <v>Investment</v>
      </c>
      <c r="F1053" s="10" t="s">
        <v>2119</v>
      </c>
      <c r="G1053" s="1" t="s">
        <v>18</v>
      </c>
      <c r="H1053" s="15">
        <f>MONTH(tblClean[[#This Row],[Date]])</f>
        <v>7</v>
      </c>
      <c r="I1053" s="15">
        <f>YEAR(tblClean[[#This Row],[Date]])</f>
        <v>2023</v>
      </c>
    </row>
    <row r="1054" spans="1:9" x14ac:dyDescent="0.25">
      <c r="A1054" s="7">
        <v>45117</v>
      </c>
      <c r="B1054" s="2" t="s">
        <v>2116</v>
      </c>
      <c r="C1054" s="4" t="str">
        <f>TRIM(CLEAN(PROPER(tblClean[[#This Row],[Transaction Description]])))</f>
        <v>Particular Condition Man.</v>
      </c>
      <c r="D1054" s="2" t="s">
        <v>22</v>
      </c>
      <c r="E1054" s="3" t="str">
        <f>TRIM(CLEAN(PROPER(tblClean[[#This Row],[Category]])))</f>
        <v>Shopping</v>
      </c>
      <c r="F1054" s="11" t="s">
        <v>2117</v>
      </c>
      <c r="G1054" s="2" t="s">
        <v>8</v>
      </c>
      <c r="H1054" s="15">
        <f>MONTH(tblClean[[#This Row],[Date]])</f>
        <v>7</v>
      </c>
      <c r="I1054" s="15">
        <f>YEAR(tblClean[[#This Row],[Date]])</f>
        <v>2023</v>
      </c>
    </row>
    <row r="1055" spans="1:9" x14ac:dyDescent="0.25">
      <c r="A1055" s="7">
        <v>45118</v>
      </c>
      <c r="B1055" s="2" t="s">
        <v>2120</v>
      </c>
      <c r="C1055" s="4" t="str">
        <f>TRIM(CLEAN(PROPER(tblClean[[#This Row],[Transaction Description]])))</f>
        <v>Authority Number.</v>
      </c>
      <c r="D1055" s="2" t="s">
        <v>13</v>
      </c>
      <c r="E1055" s="3" t="str">
        <f>TRIM(CLEAN(PROPER(tblClean[[#This Row],[Category]])))</f>
        <v>Rent</v>
      </c>
      <c r="F1055" s="11" t="s">
        <v>2121</v>
      </c>
      <c r="G1055" s="2" t="s">
        <v>8</v>
      </c>
      <c r="H1055" s="15">
        <f>MONTH(tblClean[[#This Row],[Date]])</f>
        <v>7</v>
      </c>
      <c r="I1055" s="15">
        <f>YEAR(tblClean[[#This Row],[Date]])</f>
        <v>2023</v>
      </c>
    </row>
    <row r="1056" spans="1:9" x14ac:dyDescent="0.25">
      <c r="A1056" s="6">
        <v>45120</v>
      </c>
      <c r="B1056" s="1" t="s">
        <v>2122</v>
      </c>
      <c r="C1056" s="3" t="str">
        <f>TRIM(CLEAN(PROPER(tblClean[[#This Row],[Transaction Description]])))</f>
        <v>Affect Marriage Present A.</v>
      </c>
      <c r="D1056" s="1" t="s">
        <v>35</v>
      </c>
      <c r="E1056" s="3" t="str">
        <f>TRIM(CLEAN(PROPER(tblClean[[#This Row],[Category]])))</f>
        <v>Health &amp; Fitness</v>
      </c>
      <c r="F1056" s="10" t="s">
        <v>2123</v>
      </c>
      <c r="G1056" s="1" t="s">
        <v>8</v>
      </c>
      <c r="H1056" s="15">
        <f>MONTH(tblClean[[#This Row],[Date]])</f>
        <v>7</v>
      </c>
      <c r="I1056" s="15">
        <f>YEAR(tblClean[[#This Row],[Date]])</f>
        <v>2023</v>
      </c>
    </row>
    <row r="1057" spans="1:9" x14ac:dyDescent="0.25">
      <c r="A1057" s="6">
        <v>45122</v>
      </c>
      <c r="B1057" s="1" t="s">
        <v>2130</v>
      </c>
      <c r="C1057" s="3" t="str">
        <f>TRIM(CLEAN(PROPER(tblClean[[#This Row],[Transaction Description]])))</f>
        <v>Four Field Area Young.</v>
      </c>
      <c r="D1057" s="1" t="s">
        <v>35</v>
      </c>
      <c r="E1057" s="3" t="str">
        <f>TRIM(CLEAN(PROPER(tblClean[[#This Row],[Category]])))</f>
        <v>Health &amp; Fitness</v>
      </c>
      <c r="F1057" s="10" t="s">
        <v>2131</v>
      </c>
      <c r="G1057" s="1" t="s">
        <v>8</v>
      </c>
      <c r="H1057" s="15">
        <f>MONTH(tblClean[[#This Row],[Date]])</f>
        <v>7</v>
      </c>
      <c r="I1057" s="15">
        <f>YEAR(tblClean[[#This Row],[Date]])</f>
        <v>2023</v>
      </c>
    </row>
    <row r="1058" spans="1:9" x14ac:dyDescent="0.25">
      <c r="A1058" s="7">
        <v>45122</v>
      </c>
      <c r="B1058" s="2" t="s">
        <v>2128</v>
      </c>
      <c r="C1058" s="4" t="str">
        <f>TRIM(CLEAN(PROPER(tblClean[[#This Row],[Transaction Description]])))</f>
        <v>Difficult His Ready Sister Building.</v>
      </c>
      <c r="D1058" s="2" t="s">
        <v>27</v>
      </c>
      <c r="E1058" s="3" t="str">
        <f>TRIM(CLEAN(PROPER(tblClean[[#This Row],[Category]])))</f>
        <v>Other</v>
      </c>
      <c r="F1058" s="11" t="s">
        <v>2129</v>
      </c>
      <c r="G1058" s="2" t="s">
        <v>18</v>
      </c>
      <c r="H1058" s="15">
        <f>MONTH(tblClean[[#This Row],[Date]])</f>
        <v>7</v>
      </c>
      <c r="I1058" s="15">
        <f>YEAR(tblClean[[#This Row],[Date]])</f>
        <v>2023</v>
      </c>
    </row>
    <row r="1059" spans="1:9" x14ac:dyDescent="0.25">
      <c r="A1059" s="7">
        <v>45122</v>
      </c>
      <c r="B1059" s="2" t="s">
        <v>2132</v>
      </c>
      <c r="C1059" s="4" t="str">
        <f>TRIM(CLEAN(PROPER(tblClean[[#This Row],[Transaction Description]])))</f>
        <v>Movement Which Ball Least.</v>
      </c>
      <c r="D1059" s="2" t="s">
        <v>27</v>
      </c>
      <c r="E1059" s="3" t="str">
        <f>TRIM(CLEAN(PROPER(tblClean[[#This Row],[Category]])))</f>
        <v>Other</v>
      </c>
      <c r="F1059" s="11" t="s">
        <v>2133</v>
      </c>
      <c r="G1059" s="2" t="s">
        <v>18</v>
      </c>
      <c r="H1059" s="15">
        <f>MONTH(tblClean[[#This Row],[Date]])</f>
        <v>7</v>
      </c>
      <c r="I1059" s="15">
        <f>YEAR(tblClean[[#This Row],[Date]])</f>
        <v>2023</v>
      </c>
    </row>
    <row r="1060" spans="1:9" x14ac:dyDescent="0.25">
      <c r="A1060" s="7">
        <v>45122</v>
      </c>
      <c r="B1060" s="2" t="s">
        <v>2124</v>
      </c>
      <c r="C1060" s="4" t="str">
        <f>TRIM(CLEAN(PROPER(tblClean[[#This Row],[Transaction Description]])))</f>
        <v>Entire Record Toward Off.</v>
      </c>
      <c r="D1060" s="2" t="s">
        <v>38</v>
      </c>
      <c r="E1060" s="3" t="str">
        <f>TRIM(CLEAN(PROPER(tblClean[[#This Row],[Category]])))</f>
        <v>Salary</v>
      </c>
      <c r="F1060" s="11" t="s">
        <v>2125</v>
      </c>
      <c r="G1060" s="2" t="s">
        <v>8</v>
      </c>
      <c r="H1060" s="15">
        <f>MONTH(tblClean[[#This Row],[Date]])</f>
        <v>7</v>
      </c>
      <c r="I1060" s="15">
        <f>YEAR(tblClean[[#This Row],[Date]])</f>
        <v>2023</v>
      </c>
    </row>
    <row r="1061" spans="1:9" x14ac:dyDescent="0.25">
      <c r="A1061" s="6">
        <v>45122</v>
      </c>
      <c r="B1061" s="1" t="s">
        <v>2126</v>
      </c>
      <c r="C1061" s="3" t="str">
        <f>TRIM(CLEAN(PROPER(tblClean[[#This Row],[Transaction Description]])))</f>
        <v>Long Identify Road Speech.</v>
      </c>
      <c r="D1061" s="1" t="s">
        <v>10</v>
      </c>
      <c r="E1061" s="3" t="str">
        <f>TRIM(CLEAN(PROPER(tblClean[[#This Row],[Category]])))</f>
        <v>Utilities</v>
      </c>
      <c r="F1061" s="10" t="s">
        <v>2127</v>
      </c>
      <c r="G1061" s="1" t="s">
        <v>8</v>
      </c>
      <c r="H1061" s="15">
        <f>MONTH(tblClean[[#This Row],[Date]])</f>
        <v>7</v>
      </c>
      <c r="I1061" s="15">
        <f>YEAR(tblClean[[#This Row],[Date]])</f>
        <v>2023</v>
      </c>
    </row>
    <row r="1062" spans="1:9" x14ac:dyDescent="0.25">
      <c r="A1062" s="6">
        <v>45123</v>
      </c>
      <c r="B1062" s="1" t="s">
        <v>2134</v>
      </c>
      <c r="C1062" s="3" t="str">
        <f>TRIM(CLEAN(PROPER(tblClean[[#This Row],[Transaction Description]])))</f>
        <v>Computer Always His.</v>
      </c>
      <c r="D1062" s="1" t="s">
        <v>6</v>
      </c>
      <c r="E1062" s="3" t="str">
        <f>TRIM(CLEAN(PROPER(tblClean[[#This Row],[Category]])))</f>
        <v>Food &amp; Drink</v>
      </c>
      <c r="F1062" s="10" t="s">
        <v>2135</v>
      </c>
      <c r="G1062" s="1" t="s">
        <v>8</v>
      </c>
      <c r="H1062" s="15">
        <f>MONTH(tblClean[[#This Row],[Date]])</f>
        <v>7</v>
      </c>
      <c r="I1062" s="15">
        <f>YEAR(tblClean[[#This Row],[Date]])</f>
        <v>2023</v>
      </c>
    </row>
    <row r="1063" spans="1:9" x14ac:dyDescent="0.25">
      <c r="A1063" s="7">
        <v>45124</v>
      </c>
      <c r="B1063" s="2" t="s">
        <v>2136</v>
      </c>
      <c r="C1063" s="4" t="str">
        <f>TRIM(CLEAN(PROPER(tblClean[[#This Row],[Transaction Description]])))</f>
        <v>Receive To Piece.</v>
      </c>
      <c r="D1063" s="2" t="s">
        <v>53</v>
      </c>
      <c r="E1063" s="3" t="str">
        <f>TRIM(CLEAN(PROPER(tblClean[[#This Row],[Category]])))</f>
        <v>Travel</v>
      </c>
      <c r="F1063" s="11" t="s">
        <v>2137</v>
      </c>
      <c r="G1063" s="2" t="s">
        <v>8</v>
      </c>
      <c r="H1063" s="15">
        <f>MONTH(tblClean[[#This Row],[Date]])</f>
        <v>7</v>
      </c>
      <c r="I1063" s="15">
        <f>YEAR(tblClean[[#This Row],[Date]])</f>
        <v>2023</v>
      </c>
    </row>
    <row r="1064" spans="1:9" x14ac:dyDescent="0.25">
      <c r="A1064" s="6">
        <v>45125</v>
      </c>
      <c r="B1064" s="1" t="s">
        <v>2138</v>
      </c>
      <c r="C1064" s="3" t="str">
        <f>TRIM(CLEAN(PROPER(tblClean[[#This Row],[Transaction Description]])))</f>
        <v>Be Plan Same Cause.</v>
      </c>
      <c r="D1064" s="1" t="s">
        <v>13</v>
      </c>
      <c r="E1064" s="3" t="str">
        <f>TRIM(CLEAN(PROPER(tblClean[[#This Row],[Category]])))</f>
        <v>Rent</v>
      </c>
      <c r="F1064" s="10" t="s">
        <v>2139</v>
      </c>
      <c r="G1064" s="1" t="s">
        <v>8</v>
      </c>
      <c r="H1064" s="15">
        <f>MONTH(tblClean[[#This Row],[Date]])</f>
        <v>7</v>
      </c>
      <c r="I1064" s="15">
        <f>YEAR(tblClean[[#This Row],[Date]])</f>
        <v>2023</v>
      </c>
    </row>
    <row r="1065" spans="1:9" x14ac:dyDescent="0.25">
      <c r="A1065" s="6">
        <v>45126</v>
      </c>
      <c r="B1065" s="1" t="s">
        <v>2142</v>
      </c>
      <c r="C1065" s="3" t="str">
        <f>TRIM(CLEAN(PROPER(tblClean[[#This Row],[Transaction Description]])))</f>
        <v>As Music Film Move.</v>
      </c>
      <c r="D1065" s="1" t="s">
        <v>35</v>
      </c>
      <c r="E1065" s="3" t="str">
        <f>TRIM(CLEAN(PROPER(tblClean[[#This Row],[Category]])))</f>
        <v>Health &amp; Fitness</v>
      </c>
      <c r="F1065" s="10" t="s">
        <v>2143</v>
      </c>
      <c r="G1065" s="1" t="s">
        <v>8</v>
      </c>
      <c r="H1065" s="15">
        <f>MONTH(tblClean[[#This Row],[Date]])</f>
        <v>7</v>
      </c>
      <c r="I1065" s="15">
        <f>YEAR(tblClean[[#This Row],[Date]])</f>
        <v>2023</v>
      </c>
    </row>
    <row r="1066" spans="1:9" x14ac:dyDescent="0.25">
      <c r="A1066" s="7">
        <v>45126</v>
      </c>
      <c r="B1066" s="2" t="s">
        <v>2140</v>
      </c>
      <c r="C1066" s="4" t="str">
        <f>TRIM(CLEAN(PROPER(tblClean[[#This Row],[Transaction Description]])))</f>
        <v>Rest Or.</v>
      </c>
      <c r="D1066" s="2" t="s">
        <v>53</v>
      </c>
      <c r="E1066" s="3" t="str">
        <f>TRIM(CLEAN(PROPER(tblClean[[#This Row],[Category]])))</f>
        <v>Travel</v>
      </c>
      <c r="F1066" s="11" t="s">
        <v>2141</v>
      </c>
      <c r="G1066" s="2" t="s">
        <v>8</v>
      </c>
      <c r="H1066" s="15">
        <f>MONTH(tblClean[[#This Row],[Date]])</f>
        <v>7</v>
      </c>
      <c r="I1066" s="15">
        <f>YEAR(tblClean[[#This Row],[Date]])</f>
        <v>2023</v>
      </c>
    </row>
    <row r="1067" spans="1:9" x14ac:dyDescent="0.25">
      <c r="A1067" s="7">
        <v>45127</v>
      </c>
      <c r="B1067" s="2" t="s">
        <v>2144</v>
      </c>
      <c r="C1067" s="4" t="str">
        <f>TRIM(CLEAN(PROPER(tblClean[[#This Row],[Transaction Description]])))</f>
        <v>Already Argue.</v>
      </c>
      <c r="D1067" s="2" t="s">
        <v>13</v>
      </c>
      <c r="E1067" s="3" t="str">
        <f>TRIM(CLEAN(PROPER(tblClean[[#This Row],[Category]])))</f>
        <v>Rent</v>
      </c>
      <c r="F1067" s="11" t="s">
        <v>2145</v>
      </c>
      <c r="G1067" s="2" t="s">
        <v>8</v>
      </c>
      <c r="H1067" s="15">
        <f>MONTH(tblClean[[#This Row],[Date]])</f>
        <v>7</v>
      </c>
      <c r="I1067" s="15">
        <f>YEAR(tblClean[[#This Row],[Date]])</f>
        <v>2023</v>
      </c>
    </row>
    <row r="1068" spans="1:9" x14ac:dyDescent="0.25">
      <c r="A1068" s="6">
        <v>45128</v>
      </c>
      <c r="B1068" s="1" t="s">
        <v>2146</v>
      </c>
      <c r="C1068" s="3" t="str">
        <f>TRIM(CLEAN(PROPER(tblClean[[#This Row],[Transaction Description]])))</f>
        <v>Brother Southern Project Learn.</v>
      </c>
      <c r="D1068" s="1" t="s">
        <v>22</v>
      </c>
      <c r="E1068" s="3" t="str">
        <f>TRIM(CLEAN(PROPER(tblClean[[#This Row],[Category]])))</f>
        <v>Shopping</v>
      </c>
      <c r="F1068" s="10" t="s">
        <v>2147</v>
      </c>
      <c r="G1068" s="1" t="s">
        <v>8</v>
      </c>
      <c r="H1068" s="15">
        <f>MONTH(tblClean[[#This Row],[Date]])</f>
        <v>7</v>
      </c>
      <c r="I1068" s="15">
        <f>YEAR(tblClean[[#This Row],[Date]])</f>
        <v>2023</v>
      </c>
    </row>
    <row r="1069" spans="1:9" x14ac:dyDescent="0.25">
      <c r="A1069" s="7">
        <v>45130</v>
      </c>
      <c r="B1069" s="2" t="s">
        <v>2148</v>
      </c>
      <c r="C1069" s="4" t="str">
        <f>TRIM(CLEAN(PROPER(tblClean[[#This Row],[Transaction Description]])))</f>
        <v>Scientist Do Author.</v>
      </c>
      <c r="D1069" s="2" t="s">
        <v>35</v>
      </c>
      <c r="E1069" s="3" t="str">
        <f>TRIM(CLEAN(PROPER(tblClean[[#This Row],[Category]])))</f>
        <v>Health &amp; Fitness</v>
      </c>
      <c r="F1069" s="11" t="s">
        <v>2149</v>
      </c>
      <c r="G1069" s="2" t="s">
        <v>8</v>
      </c>
      <c r="H1069" s="15">
        <f>MONTH(tblClean[[#This Row],[Date]])</f>
        <v>7</v>
      </c>
      <c r="I1069" s="15">
        <f>YEAR(tblClean[[#This Row],[Date]])</f>
        <v>2023</v>
      </c>
    </row>
    <row r="1070" spans="1:9" x14ac:dyDescent="0.25">
      <c r="A1070" s="6">
        <v>45132</v>
      </c>
      <c r="B1070" s="1" t="s">
        <v>2150</v>
      </c>
      <c r="C1070" s="3" t="str">
        <f>TRIM(CLEAN(PROPER(tblClean[[#This Row],[Transaction Description]])))</f>
        <v>President Likely Truth Animal.</v>
      </c>
      <c r="D1070" s="1" t="s">
        <v>10</v>
      </c>
      <c r="E1070" s="3" t="str">
        <f>TRIM(CLEAN(PROPER(tblClean[[#This Row],[Category]])))</f>
        <v>Utilities</v>
      </c>
      <c r="F1070" s="10" t="s">
        <v>2151</v>
      </c>
      <c r="G1070" s="1" t="s">
        <v>8</v>
      </c>
      <c r="H1070" s="15">
        <f>MONTH(tblClean[[#This Row],[Date]])</f>
        <v>7</v>
      </c>
      <c r="I1070" s="15">
        <f>YEAR(tblClean[[#This Row],[Date]])</f>
        <v>2023</v>
      </c>
    </row>
    <row r="1071" spans="1:9" x14ac:dyDescent="0.25">
      <c r="A1071" s="7">
        <v>45133</v>
      </c>
      <c r="B1071" s="2" t="s">
        <v>2152</v>
      </c>
      <c r="C1071" s="4" t="str">
        <f>TRIM(CLEAN(PROPER(tblClean[[#This Row],[Transaction Description]])))</f>
        <v>Common Anyone.</v>
      </c>
      <c r="D1071" s="2" t="s">
        <v>22</v>
      </c>
      <c r="E1071" s="3" t="str">
        <f>TRIM(CLEAN(PROPER(tblClean[[#This Row],[Category]])))</f>
        <v>Shopping</v>
      </c>
      <c r="F1071" s="11" t="s">
        <v>2153</v>
      </c>
      <c r="G1071" s="2" t="s">
        <v>8</v>
      </c>
      <c r="H1071" s="15">
        <f>MONTH(tblClean[[#This Row],[Date]])</f>
        <v>7</v>
      </c>
      <c r="I1071" s="15">
        <f>YEAR(tblClean[[#This Row],[Date]])</f>
        <v>2023</v>
      </c>
    </row>
    <row r="1072" spans="1:9" x14ac:dyDescent="0.25">
      <c r="A1072" s="7">
        <v>45134</v>
      </c>
      <c r="B1072" s="2" t="s">
        <v>2156</v>
      </c>
      <c r="C1072" s="4" t="str">
        <f>TRIM(CLEAN(PROPER(tblClean[[#This Row],[Transaction Description]])))</f>
        <v>Box Organization.</v>
      </c>
      <c r="D1072" s="2" t="s">
        <v>30</v>
      </c>
      <c r="E1072" s="3" t="str">
        <f>TRIM(CLEAN(PROPER(tblClean[[#This Row],[Category]])))</f>
        <v>Entertainment</v>
      </c>
      <c r="F1072" s="11" t="s">
        <v>2157</v>
      </c>
      <c r="G1072" s="2" t="s">
        <v>8</v>
      </c>
      <c r="H1072" s="15">
        <f>MONTH(tblClean[[#This Row],[Date]])</f>
        <v>7</v>
      </c>
      <c r="I1072" s="15">
        <f>YEAR(tblClean[[#This Row],[Date]])</f>
        <v>2023</v>
      </c>
    </row>
    <row r="1073" spans="1:9" x14ac:dyDescent="0.25">
      <c r="A1073" s="6">
        <v>45134</v>
      </c>
      <c r="B1073" s="1" t="s">
        <v>2154</v>
      </c>
      <c r="C1073" s="3" t="str">
        <f>TRIM(CLEAN(PROPER(tblClean[[#This Row],[Transaction Description]])))</f>
        <v>Lay Color.</v>
      </c>
      <c r="D1073" s="1" t="s">
        <v>6</v>
      </c>
      <c r="E1073" s="3" t="str">
        <f>TRIM(CLEAN(PROPER(tblClean[[#This Row],[Category]])))</f>
        <v>Food &amp; Drink</v>
      </c>
      <c r="F1073" s="10" t="s">
        <v>2155</v>
      </c>
      <c r="G1073" s="1" t="s">
        <v>8</v>
      </c>
      <c r="H1073" s="15">
        <f>MONTH(tblClean[[#This Row],[Date]])</f>
        <v>7</v>
      </c>
      <c r="I1073" s="15">
        <f>YEAR(tblClean[[#This Row],[Date]])</f>
        <v>2023</v>
      </c>
    </row>
    <row r="1074" spans="1:9" x14ac:dyDescent="0.25">
      <c r="A1074" s="6">
        <v>45137</v>
      </c>
      <c r="B1074" s="1" t="s">
        <v>2158</v>
      </c>
      <c r="C1074" s="3" t="str">
        <f>TRIM(CLEAN(PROPER(tblClean[[#This Row],[Transaction Description]])))</f>
        <v>Source International.</v>
      </c>
      <c r="D1074" s="1" t="s">
        <v>38</v>
      </c>
      <c r="E1074" s="3" t="str">
        <f>TRIM(CLEAN(PROPER(tblClean[[#This Row],[Category]])))</f>
        <v>Salary</v>
      </c>
      <c r="F1074" s="10" t="s">
        <v>2159</v>
      </c>
      <c r="G1074" s="1" t="s">
        <v>8</v>
      </c>
      <c r="H1074" s="15">
        <f>MONTH(tblClean[[#This Row],[Date]])</f>
        <v>7</v>
      </c>
      <c r="I1074" s="15">
        <f>YEAR(tblClean[[#This Row],[Date]])</f>
        <v>2023</v>
      </c>
    </row>
    <row r="1075" spans="1:9" x14ac:dyDescent="0.25">
      <c r="A1075" s="7">
        <v>45139</v>
      </c>
      <c r="B1075" s="2" t="s">
        <v>2160</v>
      </c>
      <c r="C1075" s="4" t="str">
        <f>TRIM(CLEAN(PROPER(tblClean[[#This Row],[Transaction Description]])))</f>
        <v>Building Range National Focus.</v>
      </c>
      <c r="D1075" s="2" t="s">
        <v>30</v>
      </c>
      <c r="E1075" s="3" t="str">
        <f>TRIM(CLEAN(PROPER(tblClean[[#This Row],[Category]])))</f>
        <v>Entertainment</v>
      </c>
      <c r="F1075" s="11" t="s">
        <v>2161</v>
      </c>
      <c r="G1075" s="2" t="s">
        <v>8</v>
      </c>
      <c r="H1075" s="15">
        <f>MONTH(tblClean[[#This Row],[Date]])</f>
        <v>8</v>
      </c>
      <c r="I1075" s="15">
        <f>YEAR(tblClean[[#This Row],[Date]])</f>
        <v>2023</v>
      </c>
    </row>
    <row r="1076" spans="1:9" x14ac:dyDescent="0.25">
      <c r="A1076" s="6">
        <v>45142</v>
      </c>
      <c r="B1076" s="1" t="s">
        <v>2162</v>
      </c>
      <c r="C1076" s="3" t="str">
        <f>TRIM(CLEAN(PROPER(tblClean[[#This Row],[Transaction Description]])))</f>
        <v>Or Friend.</v>
      </c>
      <c r="D1076" s="1" t="s">
        <v>22</v>
      </c>
      <c r="E1076" s="3" t="str">
        <f>TRIM(CLEAN(PROPER(tblClean[[#This Row],[Category]])))</f>
        <v>Shopping</v>
      </c>
      <c r="F1076" s="10" t="s">
        <v>2163</v>
      </c>
      <c r="G1076" s="1" t="s">
        <v>8</v>
      </c>
      <c r="H1076" s="15">
        <f>MONTH(tblClean[[#This Row],[Date]])</f>
        <v>8</v>
      </c>
      <c r="I1076" s="15">
        <f>YEAR(tblClean[[#This Row],[Date]])</f>
        <v>2023</v>
      </c>
    </row>
    <row r="1077" spans="1:9" x14ac:dyDescent="0.25">
      <c r="A1077" s="7">
        <v>45143</v>
      </c>
      <c r="B1077" s="2" t="s">
        <v>2164</v>
      </c>
      <c r="C1077" s="4" t="str">
        <f>TRIM(CLEAN(PROPER(tblClean[[#This Row],[Transaction Description]])))</f>
        <v>Center Indeed Recent.</v>
      </c>
      <c r="D1077" s="2" t="s">
        <v>16</v>
      </c>
      <c r="E1077" s="3" t="str">
        <f>TRIM(CLEAN(PROPER(tblClean[[#This Row],[Category]])))</f>
        <v>Investment</v>
      </c>
      <c r="F1077" s="11" t="s">
        <v>2165</v>
      </c>
      <c r="G1077" s="2" t="s">
        <v>18</v>
      </c>
      <c r="H1077" s="15">
        <f>MONTH(tblClean[[#This Row],[Date]])</f>
        <v>8</v>
      </c>
      <c r="I1077" s="15">
        <f>YEAR(tblClean[[#This Row],[Date]])</f>
        <v>2023</v>
      </c>
    </row>
    <row r="1078" spans="1:9" x14ac:dyDescent="0.25">
      <c r="A1078" s="7">
        <v>45145</v>
      </c>
      <c r="B1078" s="2" t="s">
        <v>2168</v>
      </c>
      <c r="C1078" s="4" t="str">
        <f>TRIM(CLEAN(PROPER(tblClean[[#This Row],[Transaction Description]])))</f>
        <v>Partner Sing Administration Main According.</v>
      </c>
      <c r="D1078" s="2" t="s">
        <v>35</v>
      </c>
      <c r="E1078" s="3" t="str">
        <f>TRIM(CLEAN(PROPER(tblClean[[#This Row],[Category]])))</f>
        <v>Health &amp; Fitness</v>
      </c>
      <c r="F1078" s="11" t="s">
        <v>2169</v>
      </c>
      <c r="G1078" s="2" t="s">
        <v>8</v>
      </c>
      <c r="H1078" s="15">
        <f>MONTH(tblClean[[#This Row],[Date]])</f>
        <v>8</v>
      </c>
      <c r="I1078" s="15">
        <f>YEAR(tblClean[[#This Row],[Date]])</f>
        <v>2023</v>
      </c>
    </row>
    <row r="1079" spans="1:9" x14ac:dyDescent="0.25">
      <c r="A1079" s="6">
        <v>45145</v>
      </c>
      <c r="B1079" s="1" t="s">
        <v>2166</v>
      </c>
      <c r="C1079" s="3" t="str">
        <f>TRIM(CLEAN(PROPER(tblClean[[#This Row],[Transaction Description]])))</f>
        <v>Just Understand American.</v>
      </c>
      <c r="D1079" s="1" t="s">
        <v>38</v>
      </c>
      <c r="E1079" s="3" t="str">
        <f>TRIM(CLEAN(PROPER(tblClean[[#This Row],[Category]])))</f>
        <v>Salary</v>
      </c>
      <c r="F1079" s="10" t="s">
        <v>2167</v>
      </c>
      <c r="G1079" s="1" t="s">
        <v>8</v>
      </c>
      <c r="H1079" s="15">
        <f>MONTH(tblClean[[#This Row],[Date]])</f>
        <v>8</v>
      </c>
      <c r="I1079" s="15">
        <f>YEAR(tblClean[[#This Row],[Date]])</f>
        <v>2023</v>
      </c>
    </row>
    <row r="1080" spans="1:9" x14ac:dyDescent="0.25">
      <c r="A1080" s="6">
        <v>45147</v>
      </c>
      <c r="B1080" s="1" t="s">
        <v>2170</v>
      </c>
      <c r="C1080" s="3" t="str">
        <f>TRIM(CLEAN(PROPER(tblClean[[#This Row],[Transaction Description]])))</f>
        <v>Religious Order.</v>
      </c>
      <c r="D1080" s="1" t="s">
        <v>53</v>
      </c>
      <c r="E1080" s="3" t="str">
        <f>TRIM(CLEAN(PROPER(tblClean[[#This Row],[Category]])))</f>
        <v>Travel</v>
      </c>
      <c r="F1080" s="10" t="s">
        <v>2171</v>
      </c>
      <c r="G1080" s="1" t="s">
        <v>8</v>
      </c>
      <c r="H1080" s="15">
        <f>MONTH(tblClean[[#This Row],[Date]])</f>
        <v>8</v>
      </c>
      <c r="I1080" s="15">
        <f>YEAR(tblClean[[#This Row],[Date]])</f>
        <v>2023</v>
      </c>
    </row>
    <row r="1081" spans="1:9" x14ac:dyDescent="0.25">
      <c r="A1081" s="7">
        <v>45147</v>
      </c>
      <c r="B1081" s="2" t="s">
        <v>2172</v>
      </c>
      <c r="C1081" s="4" t="str">
        <f>TRIM(CLEAN(PROPER(tblClean[[#This Row],[Transaction Description]])))</f>
        <v>Really Society Live Camera.</v>
      </c>
      <c r="D1081" s="2" t="s">
        <v>53</v>
      </c>
      <c r="E1081" s="3" t="str">
        <f>TRIM(CLEAN(PROPER(tblClean[[#This Row],[Category]])))</f>
        <v>Travel</v>
      </c>
      <c r="F1081" s="11" t="s">
        <v>2173</v>
      </c>
      <c r="G1081" s="2" t="s">
        <v>8</v>
      </c>
      <c r="H1081" s="15">
        <f>MONTH(tblClean[[#This Row],[Date]])</f>
        <v>8</v>
      </c>
      <c r="I1081" s="15">
        <f>YEAR(tblClean[[#This Row],[Date]])</f>
        <v>2023</v>
      </c>
    </row>
    <row r="1082" spans="1:9" x14ac:dyDescent="0.25">
      <c r="A1082" s="7">
        <v>45148</v>
      </c>
      <c r="B1082" s="2" t="s">
        <v>2176</v>
      </c>
      <c r="C1082" s="4" t="str">
        <f>TRIM(CLEAN(PROPER(tblClean[[#This Row],[Transaction Description]])))</f>
        <v>Conference Matter Wear Physical Site.</v>
      </c>
      <c r="D1082" s="2" t="s">
        <v>30</v>
      </c>
      <c r="E1082" s="3" t="str">
        <f>TRIM(CLEAN(PROPER(tblClean[[#This Row],[Category]])))</f>
        <v>Entertainment</v>
      </c>
      <c r="F1082" s="11" t="s">
        <v>2177</v>
      </c>
      <c r="G1082" s="2" t="s">
        <v>8</v>
      </c>
      <c r="H1082" s="15">
        <f>MONTH(tblClean[[#This Row],[Date]])</f>
        <v>8</v>
      </c>
      <c r="I1082" s="15">
        <f>YEAR(tblClean[[#This Row],[Date]])</f>
        <v>2023</v>
      </c>
    </row>
    <row r="1083" spans="1:9" x14ac:dyDescent="0.25">
      <c r="A1083" s="6">
        <v>45148</v>
      </c>
      <c r="B1083" s="1" t="s">
        <v>2174</v>
      </c>
      <c r="C1083" s="3" t="str">
        <f>TRIM(CLEAN(PROPER(tblClean[[#This Row],[Transaction Description]])))</f>
        <v>Mission Include Visit.</v>
      </c>
      <c r="D1083" s="1" t="s">
        <v>16</v>
      </c>
      <c r="E1083" s="3" t="str">
        <f>TRIM(CLEAN(PROPER(tblClean[[#This Row],[Category]])))</f>
        <v>Investment</v>
      </c>
      <c r="F1083" s="10" t="s">
        <v>2175</v>
      </c>
      <c r="G1083" s="1" t="s">
        <v>18</v>
      </c>
      <c r="H1083" s="15">
        <f>MONTH(tblClean[[#This Row],[Date]])</f>
        <v>8</v>
      </c>
      <c r="I1083" s="15">
        <f>YEAR(tblClean[[#This Row],[Date]])</f>
        <v>2023</v>
      </c>
    </row>
    <row r="1084" spans="1:9" x14ac:dyDescent="0.25">
      <c r="A1084" s="6">
        <v>45149</v>
      </c>
      <c r="B1084" s="1" t="s">
        <v>2178</v>
      </c>
      <c r="C1084" s="3" t="str">
        <f>TRIM(CLEAN(PROPER(tblClean[[#This Row],[Transaction Description]])))</f>
        <v>Above Dog Brother Morning.</v>
      </c>
      <c r="D1084" s="1" t="s">
        <v>6</v>
      </c>
      <c r="E1084" s="3" t="str">
        <f>TRIM(CLEAN(PROPER(tblClean[[#This Row],[Category]])))</f>
        <v>Food &amp; Drink</v>
      </c>
      <c r="F1084" s="10" t="s">
        <v>2179</v>
      </c>
      <c r="G1084" s="1" t="s">
        <v>8</v>
      </c>
      <c r="H1084" s="15">
        <f>MONTH(tblClean[[#This Row],[Date]])</f>
        <v>8</v>
      </c>
      <c r="I1084" s="15">
        <f>YEAR(tblClean[[#This Row],[Date]])</f>
        <v>2023</v>
      </c>
    </row>
    <row r="1085" spans="1:9" x14ac:dyDescent="0.25">
      <c r="A1085" s="7">
        <v>45154</v>
      </c>
      <c r="B1085" s="2" t="s">
        <v>2180</v>
      </c>
      <c r="C1085" s="4" t="str">
        <f>TRIM(CLEAN(PROPER(tblClean[[#This Row],[Transaction Description]])))</f>
        <v>Gun Seven Music Despite Show.</v>
      </c>
      <c r="D1085" s="2" t="s">
        <v>6</v>
      </c>
      <c r="E1085" s="3" t="str">
        <f>TRIM(CLEAN(PROPER(tblClean[[#This Row],[Category]])))</f>
        <v>Food &amp; Drink</v>
      </c>
      <c r="F1085" s="11" t="s">
        <v>2181</v>
      </c>
      <c r="G1085" s="2" t="s">
        <v>8</v>
      </c>
      <c r="H1085" s="15">
        <f>MONTH(tblClean[[#This Row],[Date]])</f>
        <v>8</v>
      </c>
      <c r="I1085" s="15">
        <f>YEAR(tblClean[[#This Row],[Date]])</f>
        <v>2023</v>
      </c>
    </row>
    <row r="1086" spans="1:9" x14ac:dyDescent="0.25">
      <c r="A1086" s="6">
        <v>45155</v>
      </c>
      <c r="B1086" s="1" t="s">
        <v>2182</v>
      </c>
      <c r="C1086" s="3" t="str">
        <f>TRIM(CLEAN(PROPER(tblClean[[#This Row],[Transaction Description]])))</f>
        <v>Apply Both Chance.</v>
      </c>
      <c r="D1086" s="1" t="s">
        <v>16</v>
      </c>
      <c r="E1086" s="3" t="str">
        <f>TRIM(CLEAN(PROPER(tblClean[[#This Row],[Category]])))</f>
        <v>Investment</v>
      </c>
      <c r="F1086" s="10" t="s">
        <v>2183</v>
      </c>
      <c r="G1086" s="1" t="s">
        <v>18</v>
      </c>
      <c r="H1086" s="15">
        <f>MONTH(tblClean[[#This Row],[Date]])</f>
        <v>8</v>
      </c>
      <c r="I1086" s="15">
        <f>YEAR(tblClean[[#This Row],[Date]])</f>
        <v>2023</v>
      </c>
    </row>
    <row r="1087" spans="1:9" x14ac:dyDescent="0.25">
      <c r="A1087" s="7">
        <v>45155</v>
      </c>
      <c r="B1087" s="2" t="s">
        <v>2184</v>
      </c>
      <c r="C1087" s="4" t="str">
        <f>TRIM(CLEAN(PROPER(tblClean[[#This Row],[Transaction Description]])))</f>
        <v>Computer Prove Amount Population.</v>
      </c>
      <c r="D1087" s="2" t="s">
        <v>53</v>
      </c>
      <c r="E1087" s="3" t="str">
        <f>TRIM(CLEAN(PROPER(tblClean[[#This Row],[Category]])))</f>
        <v>Travel</v>
      </c>
      <c r="F1087" s="11" t="s">
        <v>2185</v>
      </c>
      <c r="G1087" s="2" t="s">
        <v>8</v>
      </c>
      <c r="H1087" s="15">
        <f>MONTH(tblClean[[#This Row],[Date]])</f>
        <v>8</v>
      </c>
      <c r="I1087" s="15">
        <f>YEAR(tblClean[[#This Row],[Date]])</f>
        <v>2023</v>
      </c>
    </row>
    <row r="1088" spans="1:9" x14ac:dyDescent="0.25">
      <c r="A1088" s="6">
        <v>45159</v>
      </c>
      <c r="B1088" s="1" t="s">
        <v>2186</v>
      </c>
      <c r="C1088" s="3" t="str">
        <f>TRIM(CLEAN(PROPER(tblClean[[#This Row],[Transaction Description]])))</f>
        <v>Itself Free Source.</v>
      </c>
      <c r="D1088" s="1" t="s">
        <v>53</v>
      </c>
      <c r="E1088" s="3" t="str">
        <f>TRIM(CLEAN(PROPER(tblClean[[#This Row],[Category]])))</f>
        <v>Travel</v>
      </c>
      <c r="F1088" s="10" t="s">
        <v>2187</v>
      </c>
      <c r="G1088" s="1" t="s">
        <v>8</v>
      </c>
      <c r="H1088" s="15">
        <f>MONTH(tblClean[[#This Row],[Date]])</f>
        <v>8</v>
      </c>
      <c r="I1088" s="15">
        <f>YEAR(tblClean[[#This Row],[Date]])</f>
        <v>2023</v>
      </c>
    </row>
    <row r="1089" spans="1:9" x14ac:dyDescent="0.25">
      <c r="A1089" s="7">
        <v>45160</v>
      </c>
      <c r="B1089" s="2" t="s">
        <v>2188</v>
      </c>
      <c r="C1089" s="4" t="str">
        <f>TRIM(CLEAN(PROPER(tblClean[[#This Row],[Transaction Description]])))</f>
        <v>Bit Appear.</v>
      </c>
      <c r="D1089" s="2" t="s">
        <v>35</v>
      </c>
      <c r="E1089" s="3" t="str">
        <f>TRIM(CLEAN(PROPER(tblClean[[#This Row],[Category]])))</f>
        <v>Health &amp; Fitness</v>
      </c>
      <c r="F1089" s="11" t="s">
        <v>2189</v>
      </c>
      <c r="G1089" s="2" t="s">
        <v>8</v>
      </c>
      <c r="H1089" s="15">
        <f>MONTH(tblClean[[#This Row],[Date]])</f>
        <v>8</v>
      </c>
      <c r="I1089" s="15">
        <f>YEAR(tblClean[[#This Row],[Date]])</f>
        <v>2023</v>
      </c>
    </row>
    <row r="1090" spans="1:9" x14ac:dyDescent="0.25">
      <c r="A1090" s="6">
        <v>45161</v>
      </c>
      <c r="B1090" s="1" t="s">
        <v>2190</v>
      </c>
      <c r="C1090" s="3" t="str">
        <f>TRIM(CLEAN(PROPER(tblClean[[#This Row],[Transaction Description]])))</f>
        <v>Citizen Ahead Method.</v>
      </c>
      <c r="D1090" s="1" t="s">
        <v>53</v>
      </c>
      <c r="E1090" s="3" t="str">
        <f>TRIM(CLEAN(PROPER(tblClean[[#This Row],[Category]])))</f>
        <v>Travel</v>
      </c>
      <c r="F1090" s="10" t="s">
        <v>2191</v>
      </c>
      <c r="G1090" s="1" t="s">
        <v>8</v>
      </c>
      <c r="H1090" s="15">
        <f>MONTH(tblClean[[#This Row],[Date]])</f>
        <v>8</v>
      </c>
      <c r="I1090" s="15">
        <f>YEAR(tblClean[[#This Row],[Date]])</f>
        <v>2023</v>
      </c>
    </row>
    <row r="1091" spans="1:9" x14ac:dyDescent="0.25">
      <c r="A1091" s="7">
        <v>45163</v>
      </c>
      <c r="B1091" s="2" t="s">
        <v>2192</v>
      </c>
      <c r="C1091" s="4" t="str">
        <f>TRIM(CLEAN(PROPER(tblClean[[#This Row],[Transaction Description]])))</f>
        <v>Return Or For.</v>
      </c>
      <c r="D1091" s="2" t="s">
        <v>22</v>
      </c>
      <c r="E1091" s="3" t="str">
        <f>TRIM(CLEAN(PROPER(tblClean[[#This Row],[Category]])))</f>
        <v>Shopping</v>
      </c>
      <c r="F1091" s="11" t="s">
        <v>2193</v>
      </c>
      <c r="G1091" s="2" t="s">
        <v>8</v>
      </c>
      <c r="H1091" s="15">
        <f>MONTH(tblClean[[#This Row],[Date]])</f>
        <v>8</v>
      </c>
      <c r="I1091" s="15">
        <f>YEAR(tblClean[[#This Row],[Date]])</f>
        <v>2023</v>
      </c>
    </row>
    <row r="1092" spans="1:9" x14ac:dyDescent="0.25">
      <c r="A1092" s="6">
        <v>45165</v>
      </c>
      <c r="B1092" s="1" t="s">
        <v>2194</v>
      </c>
      <c r="C1092" s="3" t="str">
        <f>TRIM(CLEAN(PROPER(tblClean[[#This Row],[Transaction Description]])))</f>
        <v>Discover Body Direction Down.</v>
      </c>
      <c r="D1092" s="1" t="s">
        <v>27</v>
      </c>
      <c r="E1092" s="3" t="str">
        <f>TRIM(CLEAN(PROPER(tblClean[[#This Row],[Category]])))</f>
        <v>Other</v>
      </c>
      <c r="F1092" s="10" t="s">
        <v>2195</v>
      </c>
      <c r="G1092" s="1" t="s">
        <v>18</v>
      </c>
      <c r="H1092" s="15">
        <f>MONTH(tblClean[[#This Row],[Date]])</f>
        <v>8</v>
      </c>
      <c r="I1092" s="15">
        <f>YEAR(tblClean[[#This Row],[Date]])</f>
        <v>2023</v>
      </c>
    </row>
    <row r="1093" spans="1:9" x14ac:dyDescent="0.25">
      <c r="A1093" s="7">
        <v>45168</v>
      </c>
      <c r="B1093" s="2" t="s">
        <v>2196</v>
      </c>
      <c r="C1093" s="4" t="str">
        <f>TRIM(CLEAN(PROPER(tblClean[[#This Row],[Transaction Description]])))</f>
        <v>Heart Determine Likely.</v>
      </c>
      <c r="D1093" s="2" t="s">
        <v>13</v>
      </c>
      <c r="E1093" s="3" t="str">
        <f>TRIM(CLEAN(PROPER(tblClean[[#This Row],[Category]])))</f>
        <v>Rent</v>
      </c>
      <c r="F1093" s="11" t="s">
        <v>2197</v>
      </c>
      <c r="G1093" s="2" t="s">
        <v>8</v>
      </c>
      <c r="H1093" s="15">
        <f>MONTH(tblClean[[#This Row],[Date]])</f>
        <v>8</v>
      </c>
      <c r="I1093" s="15">
        <f>YEAR(tblClean[[#This Row],[Date]])</f>
        <v>2023</v>
      </c>
    </row>
    <row r="1094" spans="1:9" x14ac:dyDescent="0.25">
      <c r="A1094" s="6">
        <v>45168</v>
      </c>
      <c r="B1094" s="1" t="s">
        <v>2198</v>
      </c>
      <c r="C1094" s="3" t="str">
        <f>TRIM(CLEAN(PROPER(tblClean[[#This Row],[Transaction Description]])))</f>
        <v>Three Certain.</v>
      </c>
      <c r="D1094" s="1" t="s">
        <v>53</v>
      </c>
      <c r="E1094" s="3" t="str">
        <f>TRIM(CLEAN(PROPER(tblClean[[#This Row],[Category]])))</f>
        <v>Travel</v>
      </c>
      <c r="F1094" s="10" t="s">
        <v>2199</v>
      </c>
      <c r="G1094" s="1" t="s">
        <v>8</v>
      </c>
      <c r="H1094" s="15">
        <f>MONTH(tblClean[[#This Row],[Date]])</f>
        <v>8</v>
      </c>
      <c r="I1094" s="15">
        <f>YEAR(tblClean[[#This Row],[Date]])</f>
        <v>2023</v>
      </c>
    </row>
    <row r="1095" spans="1:9" x14ac:dyDescent="0.25">
      <c r="A1095" s="7">
        <v>45168</v>
      </c>
      <c r="B1095" s="2" t="s">
        <v>2200</v>
      </c>
      <c r="C1095" s="4" t="str">
        <f>TRIM(CLEAN(PROPER(tblClean[[#This Row],[Transaction Description]])))</f>
        <v>Hold Carry Rest.</v>
      </c>
      <c r="D1095" s="2" t="s">
        <v>53</v>
      </c>
      <c r="E1095" s="3" t="str">
        <f>TRIM(CLEAN(PROPER(tblClean[[#This Row],[Category]])))</f>
        <v>Travel</v>
      </c>
      <c r="F1095" s="11" t="s">
        <v>2201</v>
      </c>
      <c r="G1095" s="2" t="s">
        <v>8</v>
      </c>
      <c r="H1095" s="15">
        <f>MONTH(tblClean[[#This Row],[Date]])</f>
        <v>8</v>
      </c>
      <c r="I1095" s="15">
        <f>YEAR(tblClean[[#This Row],[Date]])</f>
        <v>2023</v>
      </c>
    </row>
    <row r="1096" spans="1:9" x14ac:dyDescent="0.25">
      <c r="A1096" s="6">
        <v>45168</v>
      </c>
      <c r="B1096" s="1" t="s">
        <v>2202</v>
      </c>
      <c r="C1096" s="3" t="str">
        <f>TRIM(CLEAN(PROPER(tblClean[[#This Row],[Transaction Description]])))</f>
        <v>Dark Camera Realize.</v>
      </c>
      <c r="D1096" s="1" t="s">
        <v>53</v>
      </c>
      <c r="E1096" s="3" t="str">
        <f>TRIM(CLEAN(PROPER(tblClean[[#This Row],[Category]])))</f>
        <v>Travel</v>
      </c>
      <c r="F1096" s="10" t="s">
        <v>2203</v>
      </c>
      <c r="G1096" s="1" t="s">
        <v>8</v>
      </c>
      <c r="H1096" s="15">
        <f>MONTH(tblClean[[#This Row],[Date]])</f>
        <v>8</v>
      </c>
      <c r="I1096" s="15">
        <f>YEAR(tblClean[[#This Row],[Date]])</f>
        <v>2023</v>
      </c>
    </row>
    <row r="1097" spans="1:9" x14ac:dyDescent="0.25">
      <c r="A1097" s="7">
        <v>45170</v>
      </c>
      <c r="B1097" s="2" t="s">
        <v>2204</v>
      </c>
      <c r="C1097" s="4" t="str">
        <f>TRIM(CLEAN(PROPER(tblClean[[#This Row],[Transaction Description]])))</f>
        <v>Carry Surface Learn.</v>
      </c>
      <c r="D1097" s="2" t="s">
        <v>30</v>
      </c>
      <c r="E1097" s="3" t="str">
        <f>TRIM(CLEAN(PROPER(tblClean[[#This Row],[Category]])))</f>
        <v>Entertainment</v>
      </c>
      <c r="F1097" s="11" t="s">
        <v>2205</v>
      </c>
      <c r="G1097" s="2" t="s">
        <v>8</v>
      </c>
      <c r="H1097" s="15">
        <f>MONTH(tblClean[[#This Row],[Date]])</f>
        <v>9</v>
      </c>
      <c r="I1097" s="15">
        <f>YEAR(tblClean[[#This Row],[Date]])</f>
        <v>2023</v>
      </c>
    </row>
    <row r="1098" spans="1:9" x14ac:dyDescent="0.25">
      <c r="A1098" s="6">
        <v>45170</v>
      </c>
      <c r="B1098" s="1" t="s">
        <v>2206</v>
      </c>
      <c r="C1098" s="3" t="str">
        <f>TRIM(CLEAN(PROPER(tblClean[[#This Row],[Transaction Description]])))</f>
        <v>Detail Far Church Some.</v>
      </c>
      <c r="D1098" s="1" t="s">
        <v>22</v>
      </c>
      <c r="E1098" s="3" t="str">
        <f>TRIM(CLEAN(PROPER(tblClean[[#This Row],[Category]])))</f>
        <v>Shopping</v>
      </c>
      <c r="F1098" s="10" t="s">
        <v>2207</v>
      </c>
      <c r="G1098" s="1" t="s">
        <v>8</v>
      </c>
      <c r="H1098" s="15">
        <f>MONTH(tblClean[[#This Row],[Date]])</f>
        <v>9</v>
      </c>
      <c r="I1098" s="15">
        <f>YEAR(tblClean[[#This Row],[Date]])</f>
        <v>2023</v>
      </c>
    </row>
    <row r="1099" spans="1:9" x14ac:dyDescent="0.25">
      <c r="A1099" s="7">
        <v>45172</v>
      </c>
      <c r="B1099" s="2" t="s">
        <v>2208</v>
      </c>
      <c r="C1099" s="4" t="str">
        <f>TRIM(CLEAN(PROPER(tblClean[[#This Row],[Transaction Description]])))</f>
        <v>Wife Talk Beat Tax Majority.</v>
      </c>
      <c r="D1099" s="2" t="s">
        <v>6</v>
      </c>
      <c r="E1099" s="3" t="str">
        <f>TRIM(CLEAN(PROPER(tblClean[[#This Row],[Category]])))</f>
        <v>Food &amp; Drink</v>
      </c>
      <c r="F1099" s="11" t="s">
        <v>2209</v>
      </c>
      <c r="G1099" s="2" t="s">
        <v>8</v>
      </c>
      <c r="H1099" s="15">
        <f>MONTH(tblClean[[#This Row],[Date]])</f>
        <v>9</v>
      </c>
      <c r="I1099" s="15">
        <f>YEAR(tblClean[[#This Row],[Date]])</f>
        <v>2023</v>
      </c>
    </row>
    <row r="1100" spans="1:9" x14ac:dyDescent="0.25">
      <c r="A1100" s="6">
        <v>45173</v>
      </c>
      <c r="B1100" s="1" t="s">
        <v>2214</v>
      </c>
      <c r="C1100" s="3" t="str">
        <f>TRIM(CLEAN(PROPER(tblClean[[#This Row],[Transaction Description]])))</f>
        <v>Individual Analysis.</v>
      </c>
      <c r="D1100" s="1" t="s">
        <v>30</v>
      </c>
      <c r="E1100" s="3" t="str">
        <f>TRIM(CLEAN(PROPER(tblClean[[#This Row],[Category]])))</f>
        <v>Entertainment</v>
      </c>
      <c r="F1100" s="10" t="s">
        <v>2215</v>
      </c>
      <c r="G1100" s="1" t="s">
        <v>8</v>
      </c>
      <c r="H1100" s="15">
        <f>MONTH(tblClean[[#This Row],[Date]])</f>
        <v>9</v>
      </c>
      <c r="I1100" s="15">
        <f>YEAR(tblClean[[#This Row],[Date]])</f>
        <v>2023</v>
      </c>
    </row>
    <row r="1101" spans="1:9" x14ac:dyDescent="0.25">
      <c r="A1101" s="7">
        <v>45173</v>
      </c>
      <c r="B1101" s="2" t="s">
        <v>2212</v>
      </c>
      <c r="C1101" s="4" t="str">
        <f>TRIM(CLEAN(PROPER(tblClean[[#This Row],[Transaction Description]])))</f>
        <v>Its Develop Until Watch.</v>
      </c>
      <c r="D1101" s="2" t="s">
        <v>6</v>
      </c>
      <c r="E1101" s="3" t="str">
        <f>TRIM(CLEAN(PROPER(tblClean[[#This Row],[Category]])))</f>
        <v>Food &amp; Drink</v>
      </c>
      <c r="F1101" s="11" t="s">
        <v>2213</v>
      </c>
      <c r="G1101" s="2" t="s">
        <v>8</v>
      </c>
      <c r="H1101" s="15">
        <f>MONTH(tblClean[[#This Row],[Date]])</f>
        <v>9</v>
      </c>
      <c r="I1101" s="15">
        <f>YEAR(tblClean[[#This Row],[Date]])</f>
        <v>2023</v>
      </c>
    </row>
    <row r="1102" spans="1:9" x14ac:dyDescent="0.25">
      <c r="A1102" s="6">
        <v>45173</v>
      </c>
      <c r="B1102" s="1" t="s">
        <v>2210</v>
      </c>
      <c r="C1102" s="3" t="str">
        <f>TRIM(CLEAN(PROPER(tblClean[[#This Row],[Transaction Description]])))</f>
        <v>List Leg Address Into Their.</v>
      </c>
      <c r="D1102" s="1" t="s">
        <v>53</v>
      </c>
      <c r="E1102" s="3" t="str">
        <f>TRIM(CLEAN(PROPER(tblClean[[#This Row],[Category]])))</f>
        <v>Travel</v>
      </c>
      <c r="F1102" s="10" t="s">
        <v>2211</v>
      </c>
      <c r="G1102" s="1" t="s">
        <v>8</v>
      </c>
      <c r="H1102" s="15">
        <f>MONTH(tblClean[[#This Row],[Date]])</f>
        <v>9</v>
      </c>
      <c r="I1102" s="15">
        <f>YEAR(tblClean[[#This Row],[Date]])</f>
        <v>2023</v>
      </c>
    </row>
    <row r="1103" spans="1:9" x14ac:dyDescent="0.25">
      <c r="A1103" s="7">
        <v>45176</v>
      </c>
      <c r="B1103" s="2" t="s">
        <v>2216</v>
      </c>
      <c r="C1103" s="4" t="str">
        <f>TRIM(CLEAN(PROPER(tblClean[[#This Row],[Transaction Description]])))</f>
        <v>Almost Most Look Something.</v>
      </c>
      <c r="D1103" s="2" t="s">
        <v>38</v>
      </c>
      <c r="E1103" s="3" t="str">
        <f>TRIM(CLEAN(PROPER(tblClean[[#This Row],[Category]])))</f>
        <v>Salary</v>
      </c>
      <c r="F1103" s="11" t="s">
        <v>2217</v>
      </c>
      <c r="G1103" s="2" t="s">
        <v>8</v>
      </c>
      <c r="H1103" s="15">
        <f>MONTH(tblClean[[#This Row],[Date]])</f>
        <v>9</v>
      </c>
      <c r="I1103" s="15">
        <f>YEAR(tblClean[[#This Row],[Date]])</f>
        <v>2023</v>
      </c>
    </row>
    <row r="1104" spans="1:9" x14ac:dyDescent="0.25">
      <c r="A1104" s="6">
        <v>45179</v>
      </c>
      <c r="B1104" s="1" t="s">
        <v>2218</v>
      </c>
      <c r="C1104" s="3" t="str">
        <f>TRIM(CLEAN(PROPER(tblClean[[#This Row],[Transaction Description]])))</f>
        <v>Manager Bar Send Really.</v>
      </c>
      <c r="D1104" s="1" t="s">
        <v>53</v>
      </c>
      <c r="E1104" s="3" t="str">
        <f>TRIM(CLEAN(PROPER(tblClean[[#This Row],[Category]])))</f>
        <v>Travel</v>
      </c>
      <c r="F1104" s="10" t="s">
        <v>2219</v>
      </c>
      <c r="G1104" s="1" t="s">
        <v>8</v>
      </c>
      <c r="H1104" s="15">
        <f>MONTH(tblClean[[#This Row],[Date]])</f>
        <v>9</v>
      </c>
      <c r="I1104" s="15">
        <f>YEAR(tblClean[[#This Row],[Date]])</f>
        <v>2023</v>
      </c>
    </row>
    <row r="1105" spans="1:9" x14ac:dyDescent="0.25">
      <c r="A1105" s="6">
        <v>45180</v>
      </c>
      <c r="B1105" s="1" t="s">
        <v>2222</v>
      </c>
      <c r="C1105" s="3" t="str">
        <f>TRIM(CLEAN(PROPER(tblClean[[#This Row],[Transaction Description]])))</f>
        <v>Look Fight.</v>
      </c>
      <c r="D1105" s="1" t="s">
        <v>53</v>
      </c>
      <c r="E1105" s="3" t="str">
        <f>TRIM(CLEAN(PROPER(tblClean[[#This Row],[Category]])))</f>
        <v>Travel</v>
      </c>
      <c r="F1105" s="10" t="s">
        <v>2223</v>
      </c>
      <c r="G1105" s="1" t="s">
        <v>8</v>
      </c>
      <c r="H1105" s="15">
        <f>MONTH(tblClean[[#This Row],[Date]])</f>
        <v>9</v>
      </c>
      <c r="I1105" s="15">
        <f>YEAR(tblClean[[#This Row],[Date]])</f>
        <v>2023</v>
      </c>
    </row>
    <row r="1106" spans="1:9" x14ac:dyDescent="0.25">
      <c r="A1106" s="7">
        <v>45180</v>
      </c>
      <c r="B1106" s="2" t="s">
        <v>2220</v>
      </c>
      <c r="C1106" s="4" t="str">
        <f>TRIM(CLEAN(PROPER(tblClean[[#This Row],[Transaction Description]])))</f>
        <v>Car Fast Positive.</v>
      </c>
      <c r="D1106" s="2" t="s">
        <v>10</v>
      </c>
      <c r="E1106" s="3" t="str">
        <f>TRIM(CLEAN(PROPER(tblClean[[#This Row],[Category]])))</f>
        <v>Utilities</v>
      </c>
      <c r="F1106" s="11" t="s">
        <v>2221</v>
      </c>
      <c r="G1106" s="2" t="s">
        <v>8</v>
      </c>
      <c r="H1106" s="15">
        <f>MONTH(tblClean[[#This Row],[Date]])</f>
        <v>9</v>
      </c>
      <c r="I1106" s="15">
        <f>YEAR(tblClean[[#This Row],[Date]])</f>
        <v>2023</v>
      </c>
    </row>
    <row r="1107" spans="1:9" x14ac:dyDescent="0.25">
      <c r="A1107" s="6">
        <v>45181</v>
      </c>
      <c r="B1107" s="1" t="s">
        <v>2226</v>
      </c>
      <c r="C1107" s="3" t="str">
        <f>TRIM(CLEAN(PROPER(tblClean[[#This Row],[Transaction Description]])))</f>
        <v>Smile Have Less.</v>
      </c>
      <c r="D1107" s="1" t="s">
        <v>13</v>
      </c>
      <c r="E1107" s="3" t="str">
        <f>TRIM(CLEAN(PROPER(tblClean[[#This Row],[Category]])))</f>
        <v>Rent</v>
      </c>
      <c r="F1107" s="10" t="s">
        <v>2227</v>
      </c>
      <c r="G1107" s="1" t="s">
        <v>8</v>
      </c>
      <c r="H1107" s="15">
        <f>MONTH(tblClean[[#This Row],[Date]])</f>
        <v>9</v>
      </c>
      <c r="I1107" s="15">
        <f>YEAR(tblClean[[#This Row],[Date]])</f>
        <v>2023</v>
      </c>
    </row>
    <row r="1108" spans="1:9" x14ac:dyDescent="0.25">
      <c r="A1108" s="7">
        <v>45181</v>
      </c>
      <c r="B1108" s="2" t="s">
        <v>2224</v>
      </c>
      <c r="C1108" s="4" t="str">
        <f>TRIM(CLEAN(PROPER(tblClean[[#This Row],[Transaction Description]])))</f>
        <v>Section Agency Lawyer Sign Them.</v>
      </c>
      <c r="D1108" s="2" t="s">
        <v>10</v>
      </c>
      <c r="E1108" s="3" t="str">
        <f>TRIM(CLEAN(PROPER(tblClean[[#This Row],[Category]])))</f>
        <v>Utilities</v>
      </c>
      <c r="F1108" s="11" t="s">
        <v>2225</v>
      </c>
      <c r="G1108" s="2" t="s">
        <v>8</v>
      </c>
      <c r="H1108" s="15">
        <f>MONTH(tblClean[[#This Row],[Date]])</f>
        <v>9</v>
      </c>
      <c r="I1108" s="15">
        <f>YEAR(tblClean[[#This Row],[Date]])</f>
        <v>2023</v>
      </c>
    </row>
    <row r="1109" spans="1:9" x14ac:dyDescent="0.25">
      <c r="A1109" s="7">
        <v>45182</v>
      </c>
      <c r="B1109" s="2" t="s">
        <v>2228</v>
      </c>
      <c r="C1109" s="4" t="str">
        <f>TRIM(CLEAN(PROPER(tblClean[[#This Row],[Transaction Description]])))</f>
        <v>Audience Throw Four Allow International.</v>
      </c>
      <c r="D1109" s="2" t="s">
        <v>53</v>
      </c>
      <c r="E1109" s="3" t="str">
        <f>TRIM(CLEAN(PROPER(tblClean[[#This Row],[Category]])))</f>
        <v>Travel</v>
      </c>
      <c r="F1109" s="11" t="s">
        <v>2229</v>
      </c>
      <c r="G1109" s="2" t="s">
        <v>8</v>
      </c>
      <c r="H1109" s="15">
        <f>MONTH(tblClean[[#This Row],[Date]])</f>
        <v>9</v>
      </c>
      <c r="I1109" s="15">
        <f>YEAR(tblClean[[#This Row],[Date]])</f>
        <v>2023</v>
      </c>
    </row>
    <row r="1110" spans="1:9" x14ac:dyDescent="0.25">
      <c r="A1110" s="6">
        <v>45183</v>
      </c>
      <c r="B1110" s="1" t="s">
        <v>2230</v>
      </c>
      <c r="C1110" s="3" t="str">
        <f>TRIM(CLEAN(PROPER(tblClean[[#This Row],[Transaction Description]])))</f>
        <v>My Some Skin Ball Thing.</v>
      </c>
      <c r="D1110" s="1" t="s">
        <v>35</v>
      </c>
      <c r="E1110" s="3" t="str">
        <f>TRIM(CLEAN(PROPER(tblClean[[#This Row],[Category]])))</f>
        <v>Health &amp; Fitness</v>
      </c>
      <c r="F1110" s="10" t="s">
        <v>2231</v>
      </c>
      <c r="G1110" s="1" t="s">
        <v>8</v>
      </c>
      <c r="H1110" s="15">
        <f>MONTH(tblClean[[#This Row],[Date]])</f>
        <v>9</v>
      </c>
      <c r="I1110" s="15">
        <f>YEAR(tblClean[[#This Row],[Date]])</f>
        <v>2023</v>
      </c>
    </row>
    <row r="1111" spans="1:9" x14ac:dyDescent="0.25">
      <c r="A1111" s="7">
        <v>45183</v>
      </c>
      <c r="B1111" s="2" t="s">
        <v>2232</v>
      </c>
      <c r="C1111" s="4" t="str">
        <f>TRIM(CLEAN(PROPER(tblClean[[#This Row],[Transaction Description]])))</f>
        <v>War Push Thousand Book Half.</v>
      </c>
      <c r="D1111" s="2" t="s">
        <v>13</v>
      </c>
      <c r="E1111" s="3" t="str">
        <f>TRIM(CLEAN(PROPER(tblClean[[#This Row],[Category]])))</f>
        <v>Rent</v>
      </c>
      <c r="F1111" s="11" t="s">
        <v>2233</v>
      </c>
      <c r="G1111" s="2" t="s">
        <v>8</v>
      </c>
      <c r="H1111" s="15">
        <f>MONTH(tblClean[[#This Row],[Date]])</f>
        <v>9</v>
      </c>
      <c r="I1111" s="15">
        <f>YEAR(tblClean[[#This Row],[Date]])</f>
        <v>2023</v>
      </c>
    </row>
    <row r="1112" spans="1:9" x14ac:dyDescent="0.25">
      <c r="A1112" s="6">
        <v>45183</v>
      </c>
      <c r="B1112" s="1" t="s">
        <v>2234</v>
      </c>
      <c r="C1112" s="3" t="str">
        <f>TRIM(CLEAN(PROPER(tblClean[[#This Row],[Transaction Description]])))</f>
        <v>Hand Possible Relate Night.</v>
      </c>
      <c r="D1112" s="1" t="s">
        <v>13</v>
      </c>
      <c r="E1112" s="3" t="str">
        <f>TRIM(CLEAN(PROPER(tblClean[[#This Row],[Category]])))</f>
        <v>Rent</v>
      </c>
      <c r="F1112" s="10" t="s">
        <v>2235</v>
      </c>
      <c r="G1112" s="1" t="s">
        <v>8</v>
      </c>
      <c r="H1112" s="15">
        <f>MONTH(tblClean[[#This Row],[Date]])</f>
        <v>9</v>
      </c>
      <c r="I1112" s="15">
        <f>YEAR(tblClean[[#This Row],[Date]])</f>
        <v>2023</v>
      </c>
    </row>
    <row r="1113" spans="1:9" x14ac:dyDescent="0.25">
      <c r="A1113" s="7">
        <v>45184</v>
      </c>
      <c r="B1113" s="2" t="s">
        <v>2236</v>
      </c>
      <c r="C1113" s="4" t="str">
        <f>TRIM(CLEAN(PROPER(tblClean[[#This Row],[Transaction Description]])))</f>
        <v>Wonder Draw Box.</v>
      </c>
      <c r="D1113" s="2" t="s">
        <v>16</v>
      </c>
      <c r="E1113" s="3" t="str">
        <f>TRIM(CLEAN(PROPER(tblClean[[#This Row],[Category]])))</f>
        <v>Investment</v>
      </c>
      <c r="F1113" s="11" t="s">
        <v>2237</v>
      </c>
      <c r="G1113" s="2" t="s">
        <v>18</v>
      </c>
      <c r="H1113" s="15">
        <f>MONTH(tblClean[[#This Row],[Date]])</f>
        <v>9</v>
      </c>
      <c r="I1113" s="15">
        <f>YEAR(tblClean[[#This Row],[Date]])</f>
        <v>2023</v>
      </c>
    </row>
    <row r="1114" spans="1:9" x14ac:dyDescent="0.25">
      <c r="A1114" s="6">
        <v>45184</v>
      </c>
      <c r="B1114" s="1" t="s">
        <v>2238</v>
      </c>
      <c r="C1114" s="3" t="str">
        <f>TRIM(CLEAN(PROPER(tblClean[[#This Row],[Transaction Description]])))</f>
        <v>That Reflect Send Set Fly.</v>
      </c>
      <c r="D1114" s="1" t="s">
        <v>22</v>
      </c>
      <c r="E1114" s="3" t="str">
        <f>TRIM(CLEAN(PROPER(tblClean[[#This Row],[Category]])))</f>
        <v>Shopping</v>
      </c>
      <c r="F1114" s="10" t="s">
        <v>2239</v>
      </c>
      <c r="G1114" s="1" t="s">
        <v>8</v>
      </c>
      <c r="H1114" s="15">
        <f>MONTH(tblClean[[#This Row],[Date]])</f>
        <v>9</v>
      </c>
      <c r="I1114" s="15">
        <f>YEAR(tblClean[[#This Row],[Date]])</f>
        <v>2023</v>
      </c>
    </row>
    <row r="1115" spans="1:9" x14ac:dyDescent="0.25">
      <c r="A1115" s="6">
        <v>45185</v>
      </c>
      <c r="B1115" s="1" t="s">
        <v>2242</v>
      </c>
      <c r="C1115" s="3" t="str">
        <f>TRIM(CLEAN(PROPER(tblClean[[#This Row],[Transaction Description]])))</f>
        <v>Money But Report Question.</v>
      </c>
      <c r="D1115" s="1" t="s">
        <v>38</v>
      </c>
      <c r="E1115" s="3" t="str">
        <f>TRIM(CLEAN(PROPER(tblClean[[#This Row],[Category]])))</f>
        <v>Salary</v>
      </c>
      <c r="F1115" s="10" t="s">
        <v>2243</v>
      </c>
      <c r="G1115" s="1" t="s">
        <v>8</v>
      </c>
      <c r="H1115" s="15">
        <f>MONTH(tblClean[[#This Row],[Date]])</f>
        <v>9</v>
      </c>
      <c r="I1115" s="15">
        <f>YEAR(tblClean[[#This Row],[Date]])</f>
        <v>2023</v>
      </c>
    </row>
    <row r="1116" spans="1:9" x14ac:dyDescent="0.25">
      <c r="A1116" s="7">
        <v>45185</v>
      </c>
      <c r="B1116" s="2" t="s">
        <v>2240</v>
      </c>
      <c r="C1116" s="4" t="str">
        <f>TRIM(CLEAN(PROPER(tblClean[[#This Row],[Transaction Description]])))</f>
        <v>Quite Everyone As Generation.</v>
      </c>
      <c r="D1116" s="2" t="s">
        <v>10</v>
      </c>
      <c r="E1116" s="3" t="str">
        <f>TRIM(CLEAN(PROPER(tblClean[[#This Row],[Category]])))</f>
        <v>Utilities</v>
      </c>
      <c r="F1116" s="11" t="s">
        <v>2241</v>
      </c>
      <c r="G1116" s="2" t="s">
        <v>8</v>
      </c>
      <c r="H1116" s="15">
        <f>MONTH(tblClean[[#This Row],[Date]])</f>
        <v>9</v>
      </c>
      <c r="I1116" s="15">
        <f>YEAR(tblClean[[#This Row],[Date]])</f>
        <v>2023</v>
      </c>
    </row>
    <row r="1117" spans="1:9" x14ac:dyDescent="0.25">
      <c r="A1117" s="7">
        <v>45190</v>
      </c>
      <c r="B1117" s="2" t="s">
        <v>2244</v>
      </c>
      <c r="C1117" s="4" t="str">
        <f>TRIM(CLEAN(PROPER(tblClean[[#This Row],[Transaction Description]])))</f>
        <v>Later Happy Pull.</v>
      </c>
      <c r="D1117" s="2" t="s">
        <v>10</v>
      </c>
      <c r="E1117" s="3" t="str">
        <f>TRIM(CLEAN(PROPER(tblClean[[#This Row],[Category]])))</f>
        <v>Utilities</v>
      </c>
      <c r="F1117" s="11" t="s">
        <v>2245</v>
      </c>
      <c r="G1117" s="2" t="s">
        <v>8</v>
      </c>
      <c r="H1117" s="15">
        <f>MONTH(tblClean[[#This Row],[Date]])</f>
        <v>9</v>
      </c>
      <c r="I1117" s="15">
        <f>YEAR(tblClean[[#This Row],[Date]])</f>
        <v>2023</v>
      </c>
    </row>
    <row r="1118" spans="1:9" x14ac:dyDescent="0.25">
      <c r="A1118" s="6">
        <v>45190</v>
      </c>
      <c r="B1118" s="1" t="s">
        <v>2246</v>
      </c>
      <c r="C1118" s="3" t="str">
        <f>TRIM(CLEAN(PROPER(tblClean[[#This Row],[Transaction Description]])))</f>
        <v>Throughout Leader Bag.</v>
      </c>
      <c r="D1118" s="1" t="s">
        <v>10</v>
      </c>
      <c r="E1118" s="3" t="str">
        <f>TRIM(CLEAN(PROPER(tblClean[[#This Row],[Category]])))</f>
        <v>Utilities</v>
      </c>
      <c r="F1118" s="10" t="s">
        <v>2247</v>
      </c>
      <c r="G1118" s="1" t="s">
        <v>8</v>
      </c>
      <c r="H1118" s="15">
        <f>MONTH(tblClean[[#This Row],[Date]])</f>
        <v>9</v>
      </c>
      <c r="I1118" s="15">
        <f>YEAR(tblClean[[#This Row],[Date]])</f>
        <v>2023</v>
      </c>
    </row>
    <row r="1119" spans="1:9" x14ac:dyDescent="0.25">
      <c r="A1119" s="7">
        <v>45192</v>
      </c>
      <c r="B1119" s="2" t="s">
        <v>2248</v>
      </c>
      <c r="C1119" s="4" t="str">
        <f>TRIM(CLEAN(PROPER(tblClean[[#This Row],[Transaction Description]])))</f>
        <v>When Baby Clearly.</v>
      </c>
      <c r="D1119" s="2" t="s">
        <v>27</v>
      </c>
      <c r="E1119" s="3" t="str">
        <f>TRIM(CLEAN(PROPER(tblClean[[#This Row],[Category]])))</f>
        <v>Other</v>
      </c>
      <c r="F1119" s="11" t="s">
        <v>2249</v>
      </c>
      <c r="G1119" s="2" t="s">
        <v>18</v>
      </c>
      <c r="H1119" s="15">
        <f>MONTH(tblClean[[#This Row],[Date]])</f>
        <v>9</v>
      </c>
      <c r="I1119" s="15">
        <f>YEAR(tblClean[[#This Row],[Date]])</f>
        <v>2023</v>
      </c>
    </row>
    <row r="1120" spans="1:9" x14ac:dyDescent="0.25">
      <c r="A1120" s="6">
        <v>45193</v>
      </c>
      <c r="B1120" s="1" t="s">
        <v>2250</v>
      </c>
      <c r="C1120" s="3" t="str">
        <f>TRIM(CLEAN(PROPER(tblClean[[#This Row],[Transaction Description]])))</f>
        <v>Many Themselves Minute.</v>
      </c>
      <c r="D1120" s="1" t="s">
        <v>10</v>
      </c>
      <c r="E1120" s="3" t="str">
        <f>TRIM(CLEAN(PROPER(tblClean[[#This Row],[Category]])))</f>
        <v>Utilities</v>
      </c>
      <c r="F1120" s="10" t="s">
        <v>2251</v>
      </c>
      <c r="G1120" s="1" t="s">
        <v>8</v>
      </c>
      <c r="H1120" s="15">
        <f>MONTH(tblClean[[#This Row],[Date]])</f>
        <v>9</v>
      </c>
      <c r="I1120" s="15">
        <f>YEAR(tblClean[[#This Row],[Date]])</f>
        <v>2023</v>
      </c>
    </row>
    <row r="1121" spans="1:9" x14ac:dyDescent="0.25">
      <c r="A1121" s="7">
        <v>45197</v>
      </c>
      <c r="B1121" s="2" t="s">
        <v>2252</v>
      </c>
      <c r="C1121" s="4" t="str">
        <f>TRIM(CLEAN(PROPER(tblClean[[#This Row],[Transaction Description]])))</f>
        <v>Indicate Radio Use.</v>
      </c>
      <c r="D1121" s="2" t="s">
        <v>16</v>
      </c>
      <c r="E1121" s="3" t="str">
        <f>TRIM(CLEAN(PROPER(tblClean[[#This Row],[Category]])))</f>
        <v>Investment</v>
      </c>
      <c r="F1121" s="11" t="s">
        <v>2253</v>
      </c>
      <c r="G1121" s="2" t="s">
        <v>18</v>
      </c>
      <c r="H1121" s="15">
        <f>MONTH(tblClean[[#This Row],[Date]])</f>
        <v>9</v>
      </c>
      <c r="I1121" s="15">
        <f>YEAR(tblClean[[#This Row],[Date]])</f>
        <v>2023</v>
      </c>
    </row>
    <row r="1122" spans="1:9" x14ac:dyDescent="0.25">
      <c r="A1122" s="6">
        <v>45198</v>
      </c>
      <c r="B1122" s="1" t="s">
        <v>2254</v>
      </c>
      <c r="C1122" s="3" t="str">
        <f>TRIM(CLEAN(PROPER(tblClean[[#This Row],[Transaction Description]])))</f>
        <v>Information Scene Again Country.</v>
      </c>
      <c r="D1122" s="1" t="s">
        <v>22</v>
      </c>
      <c r="E1122" s="3" t="str">
        <f>TRIM(CLEAN(PROPER(tblClean[[#This Row],[Category]])))</f>
        <v>Shopping</v>
      </c>
      <c r="F1122" s="10" t="s">
        <v>2255</v>
      </c>
      <c r="G1122" s="1" t="s">
        <v>8</v>
      </c>
      <c r="H1122" s="15">
        <f>MONTH(tblClean[[#This Row],[Date]])</f>
        <v>9</v>
      </c>
      <c r="I1122" s="15">
        <f>YEAR(tblClean[[#This Row],[Date]])</f>
        <v>2023</v>
      </c>
    </row>
    <row r="1123" spans="1:9" x14ac:dyDescent="0.25">
      <c r="A1123" s="7">
        <v>45202</v>
      </c>
      <c r="B1123" s="2" t="s">
        <v>2256</v>
      </c>
      <c r="C1123" s="4" t="str">
        <f>TRIM(CLEAN(PROPER(tblClean[[#This Row],[Transaction Description]])))</f>
        <v>Strong Mind From.</v>
      </c>
      <c r="D1123" s="2" t="s">
        <v>22</v>
      </c>
      <c r="E1123" s="3" t="str">
        <f>TRIM(CLEAN(PROPER(tblClean[[#This Row],[Category]])))</f>
        <v>Shopping</v>
      </c>
      <c r="F1123" s="11" t="s">
        <v>2257</v>
      </c>
      <c r="G1123" s="2" t="s">
        <v>8</v>
      </c>
      <c r="H1123" s="15">
        <f>MONTH(tblClean[[#This Row],[Date]])</f>
        <v>10</v>
      </c>
      <c r="I1123" s="15">
        <f>YEAR(tblClean[[#This Row],[Date]])</f>
        <v>2023</v>
      </c>
    </row>
    <row r="1124" spans="1:9" x14ac:dyDescent="0.25">
      <c r="A1124" s="7">
        <v>45203</v>
      </c>
      <c r="B1124" s="2" t="s">
        <v>2260</v>
      </c>
      <c r="C1124" s="4" t="str">
        <f>TRIM(CLEAN(PROPER(tblClean[[#This Row],[Transaction Description]])))</f>
        <v>Knowledge Fight Car Smile Commercial.</v>
      </c>
      <c r="D1124" s="2" t="s">
        <v>30</v>
      </c>
      <c r="E1124" s="3" t="str">
        <f>TRIM(CLEAN(PROPER(tblClean[[#This Row],[Category]])))</f>
        <v>Entertainment</v>
      </c>
      <c r="F1124" s="11" t="s">
        <v>2261</v>
      </c>
      <c r="G1124" s="2" t="s">
        <v>8</v>
      </c>
      <c r="H1124" s="15">
        <f>MONTH(tblClean[[#This Row],[Date]])</f>
        <v>10</v>
      </c>
      <c r="I1124" s="15">
        <f>YEAR(tblClean[[#This Row],[Date]])</f>
        <v>2023</v>
      </c>
    </row>
    <row r="1125" spans="1:9" x14ac:dyDescent="0.25">
      <c r="A1125" s="6">
        <v>45203</v>
      </c>
      <c r="B1125" s="1" t="s">
        <v>2258</v>
      </c>
      <c r="C1125" s="3" t="str">
        <f>TRIM(CLEAN(PROPER(tblClean[[#This Row],[Transaction Description]])))</f>
        <v>Pretty Skin Main Program.</v>
      </c>
      <c r="D1125" s="1" t="s">
        <v>35</v>
      </c>
      <c r="E1125" s="3" t="str">
        <f>TRIM(CLEAN(PROPER(tblClean[[#This Row],[Category]])))</f>
        <v>Health &amp; Fitness</v>
      </c>
      <c r="F1125" s="10" t="s">
        <v>2259</v>
      </c>
      <c r="G1125" s="1" t="s">
        <v>8</v>
      </c>
      <c r="H1125" s="15">
        <f>MONTH(tblClean[[#This Row],[Date]])</f>
        <v>10</v>
      </c>
      <c r="I1125" s="15">
        <f>YEAR(tblClean[[#This Row],[Date]])</f>
        <v>2023</v>
      </c>
    </row>
    <row r="1126" spans="1:9" x14ac:dyDescent="0.25">
      <c r="A1126" s="6">
        <v>45204</v>
      </c>
      <c r="B1126" s="1" t="s">
        <v>2262</v>
      </c>
      <c r="C1126" s="3" t="str">
        <f>TRIM(CLEAN(PROPER(tblClean[[#This Row],[Transaction Description]])))</f>
        <v>Machine Wife Show.</v>
      </c>
      <c r="D1126" s="1" t="s">
        <v>16</v>
      </c>
      <c r="E1126" s="3" t="str">
        <f>TRIM(CLEAN(PROPER(tblClean[[#This Row],[Category]])))</f>
        <v>Investment</v>
      </c>
      <c r="F1126" s="10" t="s">
        <v>2263</v>
      </c>
      <c r="G1126" s="1" t="s">
        <v>18</v>
      </c>
      <c r="H1126" s="15">
        <f>MONTH(tblClean[[#This Row],[Date]])</f>
        <v>10</v>
      </c>
      <c r="I1126" s="15">
        <f>YEAR(tblClean[[#This Row],[Date]])</f>
        <v>2023</v>
      </c>
    </row>
    <row r="1127" spans="1:9" x14ac:dyDescent="0.25">
      <c r="A1127" s="7">
        <v>45205</v>
      </c>
      <c r="B1127" s="2" t="s">
        <v>2264</v>
      </c>
      <c r="C1127" s="4" t="str">
        <f>TRIM(CLEAN(PROPER(tblClean[[#This Row],[Transaction Description]])))</f>
        <v>Good Lay Coach.</v>
      </c>
      <c r="D1127" s="2" t="s">
        <v>35</v>
      </c>
      <c r="E1127" s="3" t="str">
        <f>TRIM(CLEAN(PROPER(tblClean[[#This Row],[Category]])))</f>
        <v>Health &amp; Fitness</v>
      </c>
      <c r="F1127" s="11" t="s">
        <v>2265</v>
      </c>
      <c r="G1127" s="2" t="s">
        <v>8</v>
      </c>
      <c r="H1127" s="15">
        <f>MONTH(tblClean[[#This Row],[Date]])</f>
        <v>10</v>
      </c>
      <c r="I1127" s="15">
        <f>YEAR(tblClean[[#This Row],[Date]])</f>
        <v>2023</v>
      </c>
    </row>
    <row r="1128" spans="1:9" x14ac:dyDescent="0.25">
      <c r="A1128" s="7">
        <v>45207</v>
      </c>
      <c r="B1128" s="2" t="s">
        <v>2268</v>
      </c>
      <c r="C1128" s="4" t="str">
        <f>TRIM(CLEAN(PROPER(tblClean[[#This Row],[Transaction Description]])))</f>
        <v>Draw American First.</v>
      </c>
      <c r="D1128" s="2" t="s">
        <v>16</v>
      </c>
      <c r="E1128" s="3" t="str">
        <f>TRIM(CLEAN(PROPER(tblClean[[#This Row],[Category]])))</f>
        <v>Investment</v>
      </c>
      <c r="F1128" s="11" t="s">
        <v>2269</v>
      </c>
      <c r="G1128" s="2" t="s">
        <v>18</v>
      </c>
      <c r="H1128" s="15">
        <f>MONTH(tblClean[[#This Row],[Date]])</f>
        <v>10</v>
      </c>
      <c r="I1128" s="15">
        <f>YEAR(tblClean[[#This Row],[Date]])</f>
        <v>2023</v>
      </c>
    </row>
    <row r="1129" spans="1:9" x14ac:dyDescent="0.25">
      <c r="A1129" s="6">
        <v>45207</v>
      </c>
      <c r="B1129" s="1" t="s">
        <v>2266</v>
      </c>
      <c r="C1129" s="3" t="str">
        <f>TRIM(CLEAN(PROPER(tblClean[[#This Row],[Transaction Description]])))</f>
        <v>Expect Win Stuff Realize Project.</v>
      </c>
      <c r="D1129" s="1" t="s">
        <v>27</v>
      </c>
      <c r="E1129" s="3" t="str">
        <f>TRIM(CLEAN(PROPER(tblClean[[#This Row],[Category]])))</f>
        <v>Other</v>
      </c>
      <c r="F1129" s="10" t="s">
        <v>2267</v>
      </c>
      <c r="G1129" s="1" t="s">
        <v>18</v>
      </c>
      <c r="H1129" s="15">
        <f>MONTH(tblClean[[#This Row],[Date]])</f>
        <v>10</v>
      </c>
      <c r="I1129" s="15">
        <f>YEAR(tblClean[[#This Row],[Date]])</f>
        <v>2023</v>
      </c>
    </row>
    <row r="1130" spans="1:9" x14ac:dyDescent="0.25">
      <c r="A1130" s="6">
        <v>45207</v>
      </c>
      <c r="B1130" s="1" t="s">
        <v>2270</v>
      </c>
      <c r="C1130" s="3" t="str">
        <f>TRIM(CLEAN(PROPER(tblClean[[#This Row],[Transaction Description]])))</f>
        <v>Employee Continue None Alone.</v>
      </c>
      <c r="D1130" s="1" t="s">
        <v>38</v>
      </c>
      <c r="E1130" s="3" t="str">
        <f>TRIM(CLEAN(PROPER(tblClean[[#This Row],[Category]])))</f>
        <v>Salary</v>
      </c>
      <c r="F1130" s="10" t="s">
        <v>2271</v>
      </c>
      <c r="G1130" s="1" t="s">
        <v>8</v>
      </c>
      <c r="H1130" s="15">
        <f>MONTH(tblClean[[#This Row],[Date]])</f>
        <v>10</v>
      </c>
      <c r="I1130" s="15">
        <f>YEAR(tblClean[[#This Row],[Date]])</f>
        <v>2023</v>
      </c>
    </row>
    <row r="1131" spans="1:9" x14ac:dyDescent="0.25">
      <c r="A1131" s="7">
        <v>45208</v>
      </c>
      <c r="B1131" s="2" t="s">
        <v>2272</v>
      </c>
      <c r="C1131" s="4" t="str">
        <f>TRIM(CLEAN(PROPER(tblClean[[#This Row],[Transaction Description]])))</f>
        <v>Challenge Large Wish Move.</v>
      </c>
      <c r="D1131" s="2" t="s">
        <v>35</v>
      </c>
      <c r="E1131" s="3" t="str">
        <f>TRIM(CLEAN(PROPER(tblClean[[#This Row],[Category]])))</f>
        <v>Health &amp; Fitness</v>
      </c>
      <c r="F1131" s="11" t="s">
        <v>2273</v>
      </c>
      <c r="G1131" s="2" t="s">
        <v>8</v>
      </c>
      <c r="H1131" s="15">
        <f>MONTH(tblClean[[#This Row],[Date]])</f>
        <v>10</v>
      </c>
      <c r="I1131" s="15">
        <f>YEAR(tblClean[[#This Row],[Date]])</f>
        <v>2023</v>
      </c>
    </row>
    <row r="1132" spans="1:9" x14ac:dyDescent="0.25">
      <c r="A1132" s="6">
        <v>45208</v>
      </c>
      <c r="B1132" s="1" t="s">
        <v>2274</v>
      </c>
      <c r="C1132" s="3" t="str">
        <f>TRIM(CLEAN(PROPER(tblClean[[#This Row],[Transaction Description]])))</f>
        <v>Identify Material.</v>
      </c>
      <c r="D1132" s="1" t="s">
        <v>10</v>
      </c>
      <c r="E1132" s="3" t="str">
        <f>TRIM(CLEAN(PROPER(tblClean[[#This Row],[Category]])))</f>
        <v>Utilities</v>
      </c>
      <c r="F1132" s="10" t="s">
        <v>2275</v>
      </c>
      <c r="G1132" s="1" t="s">
        <v>8</v>
      </c>
      <c r="H1132" s="15">
        <f>MONTH(tblClean[[#This Row],[Date]])</f>
        <v>10</v>
      </c>
      <c r="I1132" s="15">
        <f>YEAR(tblClean[[#This Row],[Date]])</f>
        <v>2023</v>
      </c>
    </row>
    <row r="1133" spans="1:9" x14ac:dyDescent="0.25">
      <c r="A1133" s="7">
        <v>45210</v>
      </c>
      <c r="B1133" s="2" t="s">
        <v>2276</v>
      </c>
      <c r="C1133" s="4" t="str">
        <f>TRIM(CLEAN(PROPER(tblClean[[#This Row],[Transaction Description]])))</f>
        <v>Until Choose Wife National.</v>
      </c>
      <c r="D1133" s="2" t="s">
        <v>35</v>
      </c>
      <c r="E1133" s="3" t="str">
        <f>TRIM(CLEAN(PROPER(tblClean[[#This Row],[Category]])))</f>
        <v>Health &amp; Fitness</v>
      </c>
      <c r="F1133" s="11" t="s">
        <v>2277</v>
      </c>
      <c r="G1133" s="2" t="s">
        <v>8</v>
      </c>
      <c r="H1133" s="15">
        <f>MONTH(tblClean[[#This Row],[Date]])</f>
        <v>10</v>
      </c>
      <c r="I1133" s="15">
        <f>YEAR(tblClean[[#This Row],[Date]])</f>
        <v>2023</v>
      </c>
    </row>
    <row r="1134" spans="1:9" x14ac:dyDescent="0.25">
      <c r="A1134" s="6">
        <v>45212</v>
      </c>
      <c r="B1134" s="1" t="s">
        <v>2278</v>
      </c>
      <c r="C1134" s="3" t="str">
        <f>TRIM(CLEAN(PROPER(tblClean[[#This Row],[Transaction Description]])))</f>
        <v>Positive Far Time Wide.</v>
      </c>
      <c r="D1134" s="1" t="s">
        <v>27</v>
      </c>
      <c r="E1134" s="3" t="str">
        <f>TRIM(CLEAN(PROPER(tblClean[[#This Row],[Category]])))</f>
        <v>Other</v>
      </c>
      <c r="F1134" s="10" t="s">
        <v>2279</v>
      </c>
      <c r="G1134" s="1" t="s">
        <v>18</v>
      </c>
      <c r="H1134" s="15">
        <f>MONTH(tblClean[[#This Row],[Date]])</f>
        <v>10</v>
      </c>
      <c r="I1134" s="15">
        <f>YEAR(tblClean[[#This Row],[Date]])</f>
        <v>2023</v>
      </c>
    </row>
    <row r="1135" spans="1:9" x14ac:dyDescent="0.25">
      <c r="A1135" s="6">
        <v>45213</v>
      </c>
      <c r="B1135" s="1" t="s">
        <v>2282</v>
      </c>
      <c r="C1135" s="3" t="str">
        <f>TRIM(CLEAN(PROPER(tblClean[[#This Row],[Transaction Description]])))</f>
        <v>Rule Too.</v>
      </c>
      <c r="D1135" s="1" t="s">
        <v>16</v>
      </c>
      <c r="E1135" s="3" t="str">
        <f>TRIM(CLEAN(PROPER(tblClean[[#This Row],[Category]])))</f>
        <v>Investment</v>
      </c>
      <c r="F1135" s="10" t="s">
        <v>2283</v>
      </c>
      <c r="G1135" s="1" t="s">
        <v>18</v>
      </c>
      <c r="H1135" s="15">
        <f>MONTH(tblClean[[#This Row],[Date]])</f>
        <v>10</v>
      </c>
      <c r="I1135" s="15">
        <f>YEAR(tblClean[[#This Row],[Date]])</f>
        <v>2023</v>
      </c>
    </row>
    <row r="1136" spans="1:9" x14ac:dyDescent="0.25">
      <c r="A1136" s="7">
        <v>45213</v>
      </c>
      <c r="B1136" s="2" t="s">
        <v>2280</v>
      </c>
      <c r="C1136" s="4" t="str">
        <f>TRIM(CLEAN(PROPER(tblClean[[#This Row],[Transaction Description]])))</f>
        <v>Son Rock Two.</v>
      </c>
      <c r="D1136" s="2" t="s">
        <v>10</v>
      </c>
      <c r="E1136" s="3" t="str">
        <f>TRIM(CLEAN(PROPER(tblClean[[#This Row],[Category]])))</f>
        <v>Utilities</v>
      </c>
      <c r="F1136" s="11" t="s">
        <v>2281</v>
      </c>
      <c r="G1136" s="2" t="s">
        <v>8</v>
      </c>
      <c r="H1136" s="15">
        <f>MONTH(tblClean[[#This Row],[Date]])</f>
        <v>10</v>
      </c>
      <c r="I1136" s="15">
        <f>YEAR(tblClean[[#This Row],[Date]])</f>
        <v>2023</v>
      </c>
    </row>
    <row r="1137" spans="1:9" x14ac:dyDescent="0.25">
      <c r="A1137" s="7">
        <v>45214</v>
      </c>
      <c r="B1137" s="2" t="s">
        <v>2284</v>
      </c>
      <c r="C1137" s="4" t="str">
        <f>TRIM(CLEAN(PROPER(tblClean[[#This Row],[Transaction Description]])))</f>
        <v>Bring Agent Pay Detail Group.</v>
      </c>
      <c r="D1137" s="2" t="s">
        <v>6</v>
      </c>
      <c r="E1137" s="3" t="str">
        <f>TRIM(CLEAN(PROPER(tblClean[[#This Row],[Category]])))</f>
        <v>Food &amp; Drink</v>
      </c>
      <c r="F1137" s="11" t="s">
        <v>2285</v>
      </c>
      <c r="G1137" s="2" t="s">
        <v>8</v>
      </c>
      <c r="H1137" s="15">
        <f>MONTH(tblClean[[#This Row],[Date]])</f>
        <v>10</v>
      </c>
      <c r="I1137" s="15">
        <f>YEAR(tblClean[[#This Row],[Date]])</f>
        <v>2023</v>
      </c>
    </row>
    <row r="1138" spans="1:9" x14ac:dyDescent="0.25">
      <c r="A1138" s="6">
        <v>45214</v>
      </c>
      <c r="B1138" s="1" t="s">
        <v>2286</v>
      </c>
      <c r="C1138" s="3" t="str">
        <f>TRIM(CLEAN(PROPER(tblClean[[#This Row],[Transaction Description]])))</f>
        <v>Part Crime.</v>
      </c>
      <c r="D1138" s="1" t="s">
        <v>6</v>
      </c>
      <c r="E1138" s="3" t="str">
        <f>TRIM(CLEAN(PROPER(tblClean[[#This Row],[Category]])))</f>
        <v>Food &amp; Drink</v>
      </c>
      <c r="F1138" s="10" t="s">
        <v>2287</v>
      </c>
      <c r="G1138" s="1" t="s">
        <v>8</v>
      </c>
      <c r="H1138" s="15">
        <f>MONTH(tblClean[[#This Row],[Date]])</f>
        <v>10</v>
      </c>
      <c r="I1138" s="15">
        <f>YEAR(tblClean[[#This Row],[Date]])</f>
        <v>2023</v>
      </c>
    </row>
    <row r="1139" spans="1:9" x14ac:dyDescent="0.25">
      <c r="A1139" s="7">
        <v>45215</v>
      </c>
      <c r="B1139" s="2" t="s">
        <v>2288</v>
      </c>
      <c r="C1139" s="4" t="str">
        <f>TRIM(CLEAN(PROPER(tblClean[[#This Row],[Transaction Description]])))</f>
        <v>Sit Short Cultural.</v>
      </c>
      <c r="D1139" s="2" t="s">
        <v>16</v>
      </c>
      <c r="E1139" s="3" t="str">
        <f>TRIM(CLEAN(PROPER(tblClean[[#This Row],[Category]])))</f>
        <v>Investment</v>
      </c>
      <c r="F1139" s="11" t="s">
        <v>2289</v>
      </c>
      <c r="G1139" s="2" t="s">
        <v>18</v>
      </c>
      <c r="H1139" s="15">
        <f>MONTH(tblClean[[#This Row],[Date]])</f>
        <v>10</v>
      </c>
      <c r="I1139" s="15">
        <f>YEAR(tblClean[[#This Row],[Date]])</f>
        <v>2023</v>
      </c>
    </row>
    <row r="1140" spans="1:9" x14ac:dyDescent="0.25">
      <c r="A1140" s="6">
        <v>45216</v>
      </c>
      <c r="B1140" s="1" t="s">
        <v>2290</v>
      </c>
      <c r="C1140" s="3" t="str">
        <f>TRIM(CLEAN(PROPER(tblClean[[#This Row],[Transaction Description]])))</f>
        <v>Support Quality Whatever Wish Hour.</v>
      </c>
      <c r="D1140" s="1" t="s">
        <v>16</v>
      </c>
      <c r="E1140" s="3" t="str">
        <f>TRIM(CLEAN(PROPER(tblClean[[#This Row],[Category]])))</f>
        <v>Investment</v>
      </c>
      <c r="F1140" s="10" t="s">
        <v>2291</v>
      </c>
      <c r="G1140" s="1" t="s">
        <v>18</v>
      </c>
      <c r="H1140" s="15">
        <f>MONTH(tblClean[[#This Row],[Date]])</f>
        <v>10</v>
      </c>
      <c r="I1140" s="15">
        <f>YEAR(tblClean[[#This Row],[Date]])</f>
        <v>2023</v>
      </c>
    </row>
    <row r="1141" spans="1:9" x14ac:dyDescent="0.25">
      <c r="A1141" s="7">
        <v>45216</v>
      </c>
      <c r="B1141" s="2" t="s">
        <v>2292</v>
      </c>
      <c r="C1141" s="4" t="str">
        <f>TRIM(CLEAN(PROPER(tblClean[[#This Row],[Transaction Description]])))</f>
        <v>Owner Memory Argue Project.</v>
      </c>
      <c r="D1141" s="2" t="s">
        <v>13</v>
      </c>
      <c r="E1141" s="3" t="str">
        <f>TRIM(CLEAN(PROPER(tblClean[[#This Row],[Category]])))</f>
        <v>Rent</v>
      </c>
      <c r="F1141" s="11" t="s">
        <v>2293</v>
      </c>
      <c r="G1141" s="2" t="s">
        <v>8</v>
      </c>
      <c r="H1141" s="15">
        <f>MONTH(tblClean[[#This Row],[Date]])</f>
        <v>10</v>
      </c>
      <c r="I1141" s="15">
        <f>YEAR(tblClean[[#This Row],[Date]])</f>
        <v>2023</v>
      </c>
    </row>
    <row r="1142" spans="1:9" x14ac:dyDescent="0.25">
      <c r="A1142" s="7">
        <v>45226</v>
      </c>
      <c r="B1142" s="2" t="s">
        <v>2296</v>
      </c>
      <c r="C1142" s="4" t="str">
        <f>TRIM(CLEAN(PROPER(tblClean[[#This Row],[Transaction Description]])))</f>
        <v>General Final Knowledge.</v>
      </c>
      <c r="D1142" s="2" t="s">
        <v>6</v>
      </c>
      <c r="E1142" s="3" t="str">
        <f>TRIM(CLEAN(PROPER(tblClean[[#This Row],[Category]])))</f>
        <v>Food &amp; Drink</v>
      </c>
      <c r="F1142" s="11" t="s">
        <v>2297</v>
      </c>
      <c r="G1142" s="2" t="s">
        <v>8</v>
      </c>
      <c r="H1142" s="15">
        <f>MONTH(tblClean[[#This Row],[Date]])</f>
        <v>10</v>
      </c>
      <c r="I1142" s="15">
        <f>YEAR(tblClean[[#This Row],[Date]])</f>
        <v>2023</v>
      </c>
    </row>
    <row r="1143" spans="1:9" x14ac:dyDescent="0.25">
      <c r="A1143" s="6">
        <v>45226</v>
      </c>
      <c r="B1143" s="1" t="s">
        <v>2294</v>
      </c>
      <c r="C1143" s="3" t="str">
        <f>TRIM(CLEAN(PROPER(tblClean[[#This Row],[Transaction Description]])))</f>
        <v>Respond Into History.</v>
      </c>
      <c r="D1143" s="1" t="s">
        <v>10</v>
      </c>
      <c r="E1143" s="3" t="str">
        <f>TRIM(CLEAN(PROPER(tblClean[[#This Row],[Category]])))</f>
        <v>Utilities</v>
      </c>
      <c r="F1143" s="10" t="s">
        <v>2295</v>
      </c>
      <c r="G1143" s="1" t="s">
        <v>8</v>
      </c>
      <c r="H1143" s="15">
        <f>MONTH(tblClean[[#This Row],[Date]])</f>
        <v>10</v>
      </c>
      <c r="I1143" s="15">
        <f>YEAR(tblClean[[#This Row],[Date]])</f>
        <v>2023</v>
      </c>
    </row>
    <row r="1144" spans="1:9" x14ac:dyDescent="0.25">
      <c r="A1144" s="6">
        <v>45228</v>
      </c>
      <c r="B1144" s="1" t="s">
        <v>2298</v>
      </c>
      <c r="C1144" s="3" t="str">
        <f>TRIM(CLEAN(PROPER(tblClean[[#This Row],[Transaction Description]])))</f>
        <v>Democratic Thousand.</v>
      </c>
      <c r="D1144" s="1" t="s">
        <v>53</v>
      </c>
      <c r="E1144" s="3" t="str">
        <f>TRIM(CLEAN(PROPER(tblClean[[#This Row],[Category]])))</f>
        <v>Travel</v>
      </c>
      <c r="F1144" s="10" t="s">
        <v>2299</v>
      </c>
      <c r="G1144" s="1" t="s">
        <v>8</v>
      </c>
      <c r="H1144" s="15">
        <f>MONTH(tblClean[[#This Row],[Date]])</f>
        <v>10</v>
      </c>
      <c r="I1144" s="15">
        <f>YEAR(tblClean[[#This Row],[Date]])</f>
        <v>2023</v>
      </c>
    </row>
    <row r="1145" spans="1:9" x14ac:dyDescent="0.25">
      <c r="A1145" s="6">
        <v>45229</v>
      </c>
      <c r="B1145" s="1" t="s">
        <v>2302</v>
      </c>
      <c r="C1145" s="3" t="str">
        <f>TRIM(CLEAN(PROPER(tblClean[[#This Row],[Transaction Description]])))</f>
        <v>Structure Our Century.</v>
      </c>
      <c r="D1145" s="1" t="s">
        <v>16</v>
      </c>
      <c r="E1145" s="3" t="str">
        <f>TRIM(CLEAN(PROPER(tblClean[[#This Row],[Category]])))</f>
        <v>Investment</v>
      </c>
      <c r="F1145" s="10" t="s">
        <v>2195</v>
      </c>
      <c r="G1145" s="1" t="s">
        <v>18</v>
      </c>
      <c r="H1145" s="15">
        <f>MONTH(tblClean[[#This Row],[Date]])</f>
        <v>10</v>
      </c>
      <c r="I1145" s="15">
        <f>YEAR(tblClean[[#This Row],[Date]])</f>
        <v>2023</v>
      </c>
    </row>
    <row r="1146" spans="1:9" x14ac:dyDescent="0.25">
      <c r="A1146" s="7">
        <v>45229</v>
      </c>
      <c r="B1146" s="2" t="s">
        <v>2300</v>
      </c>
      <c r="C1146" s="4" t="str">
        <f>TRIM(CLEAN(PROPER(tblClean[[#This Row],[Transaction Description]])))</f>
        <v>Eye South Wife Interest.</v>
      </c>
      <c r="D1146" s="2" t="s">
        <v>22</v>
      </c>
      <c r="E1146" s="3" t="str">
        <f>TRIM(CLEAN(PROPER(tblClean[[#This Row],[Category]])))</f>
        <v>Shopping</v>
      </c>
      <c r="F1146" s="11" t="s">
        <v>2301</v>
      </c>
      <c r="G1146" s="2" t="s">
        <v>8</v>
      </c>
      <c r="H1146" s="15">
        <f>MONTH(tblClean[[#This Row],[Date]])</f>
        <v>10</v>
      </c>
      <c r="I1146" s="15">
        <f>YEAR(tblClean[[#This Row],[Date]])</f>
        <v>2023</v>
      </c>
    </row>
    <row r="1147" spans="1:9" x14ac:dyDescent="0.25">
      <c r="A1147" s="7">
        <v>45234</v>
      </c>
      <c r="B1147" s="2" t="s">
        <v>2303</v>
      </c>
      <c r="C1147" s="4" t="str">
        <f>TRIM(CLEAN(PROPER(tblClean[[#This Row],[Transaction Description]])))</f>
        <v>Write Moment Friend Value.</v>
      </c>
      <c r="D1147" s="2" t="s">
        <v>16</v>
      </c>
      <c r="E1147" s="3" t="str">
        <f>TRIM(CLEAN(PROPER(tblClean[[#This Row],[Category]])))</f>
        <v>Investment</v>
      </c>
      <c r="F1147" s="11" t="s">
        <v>2304</v>
      </c>
      <c r="G1147" s="2" t="s">
        <v>18</v>
      </c>
      <c r="H1147" s="15">
        <f>MONTH(tblClean[[#This Row],[Date]])</f>
        <v>11</v>
      </c>
      <c r="I1147" s="15">
        <f>YEAR(tblClean[[#This Row],[Date]])</f>
        <v>2023</v>
      </c>
    </row>
    <row r="1148" spans="1:9" x14ac:dyDescent="0.25">
      <c r="A1148" s="6">
        <v>45235</v>
      </c>
      <c r="B1148" s="1" t="s">
        <v>2305</v>
      </c>
      <c r="C1148" s="3" t="str">
        <f>TRIM(CLEAN(PROPER(tblClean[[#This Row],[Transaction Description]])))</f>
        <v>According Police.</v>
      </c>
      <c r="D1148" s="1" t="s">
        <v>16</v>
      </c>
      <c r="E1148" s="3" t="str">
        <f>TRIM(CLEAN(PROPER(tblClean[[#This Row],[Category]])))</f>
        <v>Investment</v>
      </c>
      <c r="F1148" s="10" t="s">
        <v>2306</v>
      </c>
      <c r="G1148" s="1" t="s">
        <v>18</v>
      </c>
      <c r="H1148" s="15">
        <f>MONTH(tblClean[[#This Row],[Date]])</f>
        <v>11</v>
      </c>
      <c r="I1148" s="15">
        <f>YEAR(tblClean[[#This Row],[Date]])</f>
        <v>2023</v>
      </c>
    </row>
    <row r="1149" spans="1:9" x14ac:dyDescent="0.25">
      <c r="A1149" s="7">
        <v>45238</v>
      </c>
      <c r="B1149" s="2" t="s">
        <v>2307</v>
      </c>
      <c r="C1149" s="4" t="str">
        <f>TRIM(CLEAN(PROPER(tblClean[[#This Row],[Transaction Description]])))</f>
        <v>Company Left Nothing Trip.</v>
      </c>
      <c r="D1149" s="2" t="s">
        <v>30</v>
      </c>
      <c r="E1149" s="3" t="str">
        <f>TRIM(CLEAN(PROPER(tblClean[[#This Row],[Category]])))</f>
        <v>Entertainment</v>
      </c>
      <c r="F1149" s="11" t="s">
        <v>2308</v>
      </c>
      <c r="G1149" s="2" t="s">
        <v>8</v>
      </c>
      <c r="H1149" s="15">
        <f>MONTH(tblClean[[#This Row],[Date]])</f>
        <v>11</v>
      </c>
      <c r="I1149" s="15">
        <f>YEAR(tblClean[[#This Row],[Date]])</f>
        <v>2023</v>
      </c>
    </row>
    <row r="1150" spans="1:9" x14ac:dyDescent="0.25">
      <c r="A1150" s="7">
        <v>45238</v>
      </c>
      <c r="B1150" s="2" t="s">
        <v>2311</v>
      </c>
      <c r="C1150" s="4" t="str">
        <f>TRIM(CLEAN(PROPER(tblClean[[#This Row],[Transaction Description]])))</f>
        <v>Fight Nice Less Agree Able.</v>
      </c>
      <c r="D1150" s="2" t="s">
        <v>30</v>
      </c>
      <c r="E1150" s="3" t="str">
        <f>TRIM(CLEAN(PROPER(tblClean[[#This Row],[Category]])))</f>
        <v>Entertainment</v>
      </c>
      <c r="F1150" s="11" t="s">
        <v>2312</v>
      </c>
      <c r="G1150" s="2" t="s">
        <v>8</v>
      </c>
      <c r="H1150" s="15">
        <f>MONTH(tblClean[[#This Row],[Date]])</f>
        <v>11</v>
      </c>
      <c r="I1150" s="15">
        <f>YEAR(tblClean[[#This Row],[Date]])</f>
        <v>2023</v>
      </c>
    </row>
    <row r="1151" spans="1:9" x14ac:dyDescent="0.25">
      <c r="A1151" s="6">
        <v>45238</v>
      </c>
      <c r="B1151" s="1" t="s">
        <v>2309</v>
      </c>
      <c r="C1151" s="3" t="str">
        <f>TRIM(CLEAN(PROPER(tblClean[[#This Row],[Transaction Description]])))</f>
        <v>Strategy Face Make.</v>
      </c>
      <c r="D1151" s="1" t="s">
        <v>10</v>
      </c>
      <c r="E1151" s="3" t="str">
        <f>TRIM(CLEAN(PROPER(tblClean[[#This Row],[Category]])))</f>
        <v>Utilities</v>
      </c>
      <c r="F1151" s="10" t="s">
        <v>2310</v>
      </c>
      <c r="G1151" s="1" t="s">
        <v>8</v>
      </c>
      <c r="H1151" s="15">
        <f>MONTH(tblClean[[#This Row],[Date]])</f>
        <v>11</v>
      </c>
      <c r="I1151" s="15">
        <f>YEAR(tblClean[[#This Row],[Date]])</f>
        <v>2023</v>
      </c>
    </row>
    <row r="1152" spans="1:9" x14ac:dyDescent="0.25">
      <c r="A1152" s="6">
        <v>45239</v>
      </c>
      <c r="B1152" s="1" t="s">
        <v>2313</v>
      </c>
      <c r="C1152" s="3" t="str">
        <f>TRIM(CLEAN(PROPER(tblClean[[#This Row],[Transaction Description]])))</f>
        <v>What Strong Line.</v>
      </c>
      <c r="D1152" s="1" t="s">
        <v>30</v>
      </c>
      <c r="E1152" s="3" t="str">
        <f>TRIM(CLEAN(PROPER(tblClean[[#This Row],[Category]])))</f>
        <v>Entertainment</v>
      </c>
      <c r="F1152" s="10" t="s">
        <v>2314</v>
      </c>
      <c r="G1152" s="1" t="s">
        <v>8</v>
      </c>
      <c r="H1152" s="15">
        <f>MONTH(tblClean[[#This Row],[Date]])</f>
        <v>11</v>
      </c>
      <c r="I1152" s="15">
        <f>YEAR(tblClean[[#This Row],[Date]])</f>
        <v>2023</v>
      </c>
    </row>
    <row r="1153" spans="1:9" x14ac:dyDescent="0.25">
      <c r="A1153" s="7">
        <v>45239</v>
      </c>
      <c r="B1153" s="2" t="s">
        <v>2315</v>
      </c>
      <c r="C1153" s="4" t="str">
        <f>TRIM(CLEAN(PROPER(tblClean[[#This Row],[Transaction Description]])))</f>
        <v>Conference Trade Population Agreement.</v>
      </c>
      <c r="D1153" s="2" t="s">
        <v>13</v>
      </c>
      <c r="E1153" s="3" t="str">
        <f>TRIM(CLEAN(PROPER(tblClean[[#This Row],[Category]])))</f>
        <v>Rent</v>
      </c>
      <c r="F1153" s="11" t="s">
        <v>2316</v>
      </c>
      <c r="G1153" s="2" t="s">
        <v>8</v>
      </c>
      <c r="H1153" s="15">
        <f>MONTH(tblClean[[#This Row],[Date]])</f>
        <v>11</v>
      </c>
      <c r="I1153" s="15">
        <f>YEAR(tblClean[[#This Row],[Date]])</f>
        <v>2023</v>
      </c>
    </row>
    <row r="1154" spans="1:9" x14ac:dyDescent="0.25">
      <c r="A1154" s="7">
        <v>45241</v>
      </c>
      <c r="B1154" s="2" t="s">
        <v>2319</v>
      </c>
      <c r="C1154" s="4" t="str">
        <f>TRIM(CLEAN(PROPER(tblClean[[#This Row],[Transaction Description]])))</f>
        <v>Than Physical Live Reason.</v>
      </c>
      <c r="D1154" s="2" t="s">
        <v>13</v>
      </c>
      <c r="E1154" s="3" t="str">
        <f>TRIM(CLEAN(PROPER(tblClean[[#This Row],[Category]])))</f>
        <v>Rent</v>
      </c>
      <c r="F1154" s="11" t="s">
        <v>2320</v>
      </c>
      <c r="G1154" s="2" t="s">
        <v>8</v>
      </c>
      <c r="H1154" s="15">
        <f>MONTH(tblClean[[#This Row],[Date]])</f>
        <v>11</v>
      </c>
      <c r="I1154" s="15">
        <f>YEAR(tblClean[[#This Row],[Date]])</f>
        <v>2023</v>
      </c>
    </row>
    <row r="1155" spans="1:9" x14ac:dyDescent="0.25">
      <c r="A1155" s="6">
        <v>45241</v>
      </c>
      <c r="B1155" s="1" t="s">
        <v>2317</v>
      </c>
      <c r="C1155" s="3" t="str">
        <f>TRIM(CLEAN(PROPER(tblClean[[#This Row],[Transaction Description]])))</f>
        <v>Yes At Seat Ok.</v>
      </c>
      <c r="D1155" s="1" t="s">
        <v>10</v>
      </c>
      <c r="E1155" s="3" t="str">
        <f>TRIM(CLEAN(PROPER(tblClean[[#This Row],[Category]])))</f>
        <v>Utilities</v>
      </c>
      <c r="F1155" s="10" t="s">
        <v>2318</v>
      </c>
      <c r="G1155" s="1" t="s">
        <v>8</v>
      </c>
      <c r="H1155" s="15">
        <f>MONTH(tblClean[[#This Row],[Date]])</f>
        <v>11</v>
      </c>
      <c r="I1155" s="15">
        <f>YEAR(tblClean[[#This Row],[Date]])</f>
        <v>2023</v>
      </c>
    </row>
    <row r="1156" spans="1:9" x14ac:dyDescent="0.25">
      <c r="A1156" s="6">
        <v>45243</v>
      </c>
      <c r="B1156" s="1" t="s">
        <v>2321</v>
      </c>
      <c r="C1156" s="3" t="str">
        <f>TRIM(CLEAN(PROPER(tblClean[[#This Row],[Transaction Description]])))</f>
        <v>Mention Offer Suddenly Clear.</v>
      </c>
      <c r="D1156" s="1" t="s">
        <v>27</v>
      </c>
      <c r="E1156" s="3" t="str">
        <f>TRIM(CLEAN(PROPER(tblClean[[#This Row],[Category]])))</f>
        <v>Other</v>
      </c>
      <c r="F1156" s="10" t="s">
        <v>2322</v>
      </c>
      <c r="G1156" s="1" t="s">
        <v>18</v>
      </c>
      <c r="H1156" s="15">
        <f>MONTH(tblClean[[#This Row],[Date]])</f>
        <v>11</v>
      </c>
      <c r="I1156" s="15">
        <f>YEAR(tblClean[[#This Row],[Date]])</f>
        <v>2023</v>
      </c>
    </row>
    <row r="1157" spans="1:9" x14ac:dyDescent="0.25">
      <c r="A1157" s="6">
        <v>45244</v>
      </c>
      <c r="B1157" s="1" t="s">
        <v>2325</v>
      </c>
      <c r="C1157" s="3" t="str">
        <f>TRIM(CLEAN(PROPER(tblClean[[#This Row],[Transaction Description]])))</f>
        <v>Evening Information.</v>
      </c>
      <c r="D1157" s="1" t="s">
        <v>16</v>
      </c>
      <c r="E1157" s="3" t="str">
        <f>TRIM(CLEAN(PROPER(tblClean[[#This Row],[Category]])))</f>
        <v>Investment</v>
      </c>
      <c r="F1157" s="10" t="s">
        <v>2326</v>
      </c>
      <c r="G1157" s="1" t="s">
        <v>18</v>
      </c>
      <c r="H1157" s="15">
        <f>MONTH(tblClean[[#This Row],[Date]])</f>
        <v>11</v>
      </c>
      <c r="I1157" s="15">
        <f>YEAR(tblClean[[#This Row],[Date]])</f>
        <v>2023</v>
      </c>
    </row>
    <row r="1158" spans="1:9" x14ac:dyDescent="0.25">
      <c r="A1158" s="7">
        <v>45244</v>
      </c>
      <c r="B1158" s="2" t="s">
        <v>2323</v>
      </c>
      <c r="C1158" s="4" t="str">
        <f>TRIM(CLEAN(PROPER(tblClean[[#This Row],[Transaction Description]])))</f>
        <v>Floor There Career.</v>
      </c>
      <c r="D1158" s="2" t="s">
        <v>53</v>
      </c>
      <c r="E1158" s="3" t="str">
        <f>TRIM(CLEAN(PROPER(tblClean[[#This Row],[Category]])))</f>
        <v>Travel</v>
      </c>
      <c r="F1158" s="11" t="s">
        <v>2324</v>
      </c>
      <c r="G1158" s="2" t="s">
        <v>8</v>
      </c>
      <c r="H1158" s="15">
        <f>MONTH(tblClean[[#This Row],[Date]])</f>
        <v>11</v>
      </c>
      <c r="I1158" s="15">
        <f>YEAR(tblClean[[#This Row],[Date]])</f>
        <v>2023</v>
      </c>
    </row>
    <row r="1159" spans="1:9" x14ac:dyDescent="0.25">
      <c r="A1159" s="7">
        <v>45245</v>
      </c>
      <c r="B1159" s="2" t="s">
        <v>2327</v>
      </c>
      <c r="C1159" s="4" t="str">
        <f>TRIM(CLEAN(PROPER(tblClean[[#This Row],[Transaction Description]])))</f>
        <v>Face Morning.</v>
      </c>
      <c r="D1159" s="2" t="s">
        <v>35</v>
      </c>
      <c r="E1159" s="3" t="str">
        <f>TRIM(CLEAN(PROPER(tblClean[[#This Row],[Category]])))</f>
        <v>Health &amp; Fitness</v>
      </c>
      <c r="F1159" s="11" t="s">
        <v>2328</v>
      </c>
      <c r="G1159" s="2" t="s">
        <v>8</v>
      </c>
      <c r="H1159" s="15">
        <f>MONTH(tblClean[[#This Row],[Date]])</f>
        <v>11</v>
      </c>
      <c r="I1159" s="15">
        <f>YEAR(tblClean[[#This Row],[Date]])</f>
        <v>2023</v>
      </c>
    </row>
    <row r="1160" spans="1:9" x14ac:dyDescent="0.25">
      <c r="A1160" s="6">
        <v>45247</v>
      </c>
      <c r="B1160" s="1" t="s">
        <v>2329</v>
      </c>
      <c r="C1160" s="3" t="str">
        <f>TRIM(CLEAN(PROPER(tblClean[[#This Row],[Transaction Description]])))</f>
        <v>Create Physical Share Out Cold.</v>
      </c>
      <c r="D1160" s="1" t="s">
        <v>13</v>
      </c>
      <c r="E1160" s="3" t="str">
        <f>TRIM(CLEAN(PROPER(tblClean[[#This Row],[Category]])))</f>
        <v>Rent</v>
      </c>
      <c r="F1160" s="10" t="s">
        <v>2330</v>
      </c>
      <c r="G1160" s="1" t="s">
        <v>8</v>
      </c>
      <c r="H1160" s="15">
        <f>MONTH(tblClean[[#This Row],[Date]])</f>
        <v>11</v>
      </c>
      <c r="I1160" s="15">
        <f>YEAR(tblClean[[#This Row],[Date]])</f>
        <v>2023</v>
      </c>
    </row>
    <row r="1161" spans="1:9" x14ac:dyDescent="0.25">
      <c r="A1161" s="7">
        <v>45248</v>
      </c>
      <c r="B1161" s="2" t="s">
        <v>2331</v>
      </c>
      <c r="C1161" s="4" t="str">
        <f>TRIM(CLEAN(PROPER(tblClean[[#This Row],[Transaction Description]])))</f>
        <v>Step Rate Feeling Rate.</v>
      </c>
      <c r="D1161" s="2" t="s">
        <v>6</v>
      </c>
      <c r="E1161" s="3" t="str">
        <f>TRIM(CLEAN(PROPER(tblClean[[#This Row],[Category]])))</f>
        <v>Food &amp; Drink</v>
      </c>
      <c r="F1161" s="11" t="s">
        <v>2332</v>
      </c>
      <c r="G1161" s="2" t="s">
        <v>8</v>
      </c>
      <c r="H1161" s="15">
        <f>MONTH(tblClean[[#This Row],[Date]])</f>
        <v>11</v>
      </c>
      <c r="I1161" s="15">
        <f>YEAR(tblClean[[#This Row],[Date]])</f>
        <v>2023</v>
      </c>
    </row>
    <row r="1162" spans="1:9" x14ac:dyDescent="0.25">
      <c r="A1162" s="6">
        <v>45251</v>
      </c>
      <c r="B1162" s="1" t="s">
        <v>2333</v>
      </c>
      <c r="C1162" s="3" t="str">
        <f>TRIM(CLEAN(PROPER(tblClean[[#This Row],[Transaction Description]])))</f>
        <v>Move Goal.</v>
      </c>
      <c r="D1162" s="1" t="s">
        <v>16</v>
      </c>
      <c r="E1162" s="3" t="str">
        <f>TRIM(CLEAN(PROPER(tblClean[[#This Row],[Category]])))</f>
        <v>Investment</v>
      </c>
      <c r="F1162" s="10" t="s">
        <v>2334</v>
      </c>
      <c r="G1162" s="1" t="s">
        <v>18</v>
      </c>
      <c r="H1162" s="15">
        <f>MONTH(tblClean[[#This Row],[Date]])</f>
        <v>11</v>
      </c>
      <c r="I1162" s="15">
        <f>YEAR(tblClean[[#This Row],[Date]])</f>
        <v>2023</v>
      </c>
    </row>
    <row r="1163" spans="1:9" x14ac:dyDescent="0.25">
      <c r="A1163" s="7">
        <v>45251</v>
      </c>
      <c r="B1163" s="2" t="s">
        <v>2335</v>
      </c>
      <c r="C1163" s="4" t="str">
        <f>TRIM(CLEAN(PROPER(tblClean[[#This Row],[Transaction Description]])))</f>
        <v>Carry Example.</v>
      </c>
      <c r="D1163" s="2" t="s">
        <v>38</v>
      </c>
      <c r="E1163" s="3" t="str">
        <f>TRIM(CLEAN(PROPER(tblClean[[#This Row],[Category]])))</f>
        <v>Salary</v>
      </c>
      <c r="F1163" s="11" t="s">
        <v>2336</v>
      </c>
      <c r="G1163" s="2" t="s">
        <v>8</v>
      </c>
      <c r="H1163" s="15">
        <f>MONTH(tblClean[[#This Row],[Date]])</f>
        <v>11</v>
      </c>
      <c r="I1163" s="15">
        <f>YEAR(tblClean[[#This Row],[Date]])</f>
        <v>2023</v>
      </c>
    </row>
    <row r="1164" spans="1:9" x14ac:dyDescent="0.25">
      <c r="A1164" s="6">
        <v>45252</v>
      </c>
      <c r="B1164" s="1" t="s">
        <v>2337</v>
      </c>
      <c r="C1164" s="3" t="str">
        <f>TRIM(CLEAN(PROPER(tblClean[[#This Row],[Transaction Description]])))</f>
        <v>Future Treat Bill Choice.</v>
      </c>
      <c r="D1164" s="1" t="s">
        <v>13</v>
      </c>
      <c r="E1164" s="3" t="str">
        <f>TRIM(CLEAN(PROPER(tblClean[[#This Row],[Category]])))</f>
        <v>Rent</v>
      </c>
      <c r="F1164" s="10" t="s">
        <v>2338</v>
      </c>
      <c r="G1164" s="1" t="s">
        <v>8</v>
      </c>
      <c r="H1164" s="15">
        <f>MONTH(tblClean[[#This Row],[Date]])</f>
        <v>11</v>
      </c>
      <c r="I1164" s="15">
        <f>YEAR(tblClean[[#This Row],[Date]])</f>
        <v>2023</v>
      </c>
    </row>
    <row r="1165" spans="1:9" x14ac:dyDescent="0.25">
      <c r="A1165" s="7">
        <v>45253</v>
      </c>
      <c r="B1165" s="2" t="s">
        <v>2339</v>
      </c>
      <c r="C1165" s="4" t="str">
        <f>TRIM(CLEAN(PROPER(tblClean[[#This Row],[Transaction Description]])))</f>
        <v>Somebody Next Ready.</v>
      </c>
      <c r="D1165" s="2" t="s">
        <v>13</v>
      </c>
      <c r="E1165" s="3" t="str">
        <f>TRIM(CLEAN(PROPER(tblClean[[#This Row],[Category]])))</f>
        <v>Rent</v>
      </c>
      <c r="F1165" s="11" t="s">
        <v>2340</v>
      </c>
      <c r="G1165" s="2" t="s">
        <v>8</v>
      </c>
      <c r="H1165" s="15">
        <f>MONTH(tblClean[[#This Row],[Date]])</f>
        <v>11</v>
      </c>
      <c r="I1165" s="15">
        <f>YEAR(tblClean[[#This Row],[Date]])</f>
        <v>2023</v>
      </c>
    </row>
    <row r="1166" spans="1:9" x14ac:dyDescent="0.25">
      <c r="A1166" s="6">
        <v>45253</v>
      </c>
      <c r="B1166" s="1" t="s">
        <v>2341</v>
      </c>
      <c r="C1166" s="3" t="str">
        <f>TRIM(CLEAN(PROPER(tblClean[[#This Row],[Transaction Description]])))</f>
        <v>Republican Reduce Sort Individual Trouble.</v>
      </c>
      <c r="D1166" s="1" t="s">
        <v>53</v>
      </c>
      <c r="E1166" s="3" t="str">
        <f>TRIM(CLEAN(PROPER(tblClean[[#This Row],[Category]])))</f>
        <v>Travel</v>
      </c>
      <c r="F1166" s="10" t="s">
        <v>2342</v>
      </c>
      <c r="G1166" s="1" t="s">
        <v>8</v>
      </c>
      <c r="H1166" s="15">
        <f>MONTH(tblClean[[#This Row],[Date]])</f>
        <v>11</v>
      </c>
      <c r="I1166" s="15">
        <f>YEAR(tblClean[[#This Row],[Date]])</f>
        <v>2023</v>
      </c>
    </row>
    <row r="1167" spans="1:9" x14ac:dyDescent="0.25">
      <c r="A1167" s="7">
        <v>45256</v>
      </c>
      <c r="B1167" s="2" t="s">
        <v>2347</v>
      </c>
      <c r="C1167" s="4" t="str">
        <f>TRIM(CLEAN(PROPER(tblClean[[#This Row],[Transaction Description]])))</f>
        <v>Report Agreement Sport.</v>
      </c>
      <c r="D1167" s="2" t="s">
        <v>6</v>
      </c>
      <c r="E1167" s="3" t="str">
        <f>TRIM(CLEAN(PROPER(tblClean[[#This Row],[Category]])))</f>
        <v>Food &amp; Drink</v>
      </c>
      <c r="F1167" s="11" t="s">
        <v>2348</v>
      </c>
      <c r="G1167" s="2" t="s">
        <v>8</v>
      </c>
      <c r="H1167" s="15">
        <f>MONTH(tblClean[[#This Row],[Date]])</f>
        <v>11</v>
      </c>
      <c r="I1167" s="15">
        <f>YEAR(tblClean[[#This Row],[Date]])</f>
        <v>2023</v>
      </c>
    </row>
    <row r="1168" spans="1:9" x14ac:dyDescent="0.25">
      <c r="A1168" s="6">
        <v>45256</v>
      </c>
      <c r="B1168" s="1" t="s">
        <v>2349</v>
      </c>
      <c r="C1168" s="3" t="str">
        <f>TRIM(CLEAN(PROPER(tblClean[[#This Row],[Transaction Description]])))</f>
        <v>Task Central Dinner.</v>
      </c>
      <c r="D1168" s="1" t="s">
        <v>13</v>
      </c>
      <c r="E1168" s="3" t="str">
        <f>TRIM(CLEAN(PROPER(tblClean[[#This Row],[Category]])))</f>
        <v>Rent</v>
      </c>
      <c r="F1168" s="10" t="s">
        <v>2350</v>
      </c>
      <c r="G1168" s="1" t="s">
        <v>8</v>
      </c>
      <c r="H1168" s="15">
        <f>MONTH(tblClean[[#This Row],[Date]])</f>
        <v>11</v>
      </c>
      <c r="I1168" s="15">
        <f>YEAR(tblClean[[#This Row],[Date]])</f>
        <v>2023</v>
      </c>
    </row>
    <row r="1169" spans="1:9" x14ac:dyDescent="0.25">
      <c r="A1169" s="7">
        <v>45256</v>
      </c>
      <c r="B1169" s="2" t="s">
        <v>2343</v>
      </c>
      <c r="C1169" s="4" t="str">
        <f>TRIM(CLEAN(PROPER(tblClean[[#This Row],[Transaction Description]])))</f>
        <v>Type Look Find.</v>
      </c>
      <c r="D1169" s="2" t="s">
        <v>38</v>
      </c>
      <c r="E1169" s="3" t="str">
        <f>TRIM(CLEAN(PROPER(tblClean[[#This Row],[Category]])))</f>
        <v>Salary</v>
      </c>
      <c r="F1169" s="11" t="s">
        <v>2344</v>
      </c>
      <c r="G1169" s="2" t="s">
        <v>8</v>
      </c>
      <c r="H1169" s="15">
        <f>MONTH(tblClean[[#This Row],[Date]])</f>
        <v>11</v>
      </c>
      <c r="I1169" s="15">
        <f>YEAR(tblClean[[#This Row],[Date]])</f>
        <v>2023</v>
      </c>
    </row>
    <row r="1170" spans="1:9" x14ac:dyDescent="0.25">
      <c r="A1170" s="6">
        <v>45256</v>
      </c>
      <c r="B1170" s="1" t="s">
        <v>2345</v>
      </c>
      <c r="C1170" s="3" t="str">
        <f>TRIM(CLEAN(PROPER(tblClean[[#This Row],[Transaction Description]])))</f>
        <v>Stage Threat Our.</v>
      </c>
      <c r="D1170" s="1" t="s">
        <v>10</v>
      </c>
      <c r="E1170" s="3" t="str">
        <f>TRIM(CLEAN(PROPER(tblClean[[#This Row],[Category]])))</f>
        <v>Utilities</v>
      </c>
      <c r="F1170" s="10" t="s">
        <v>2346</v>
      </c>
      <c r="G1170" s="1" t="s">
        <v>8</v>
      </c>
      <c r="H1170" s="15">
        <f>MONTH(tblClean[[#This Row],[Date]])</f>
        <v>11</v>
      </c>
      <c r="I1170" s="15">
        <f>YEAR(tblClean[[#This Row],[Date]])</f>
        <v>2023</v>
      </c>
    </row>
    <row r="1171" spans="1:9" x14ac:dyDescent="0.25">
      <c r="A1171" s="6">
        <v>45257</v>
      </c>
      <c r="B1171" s="1" t="s">
        <v>2353</v>
      </c>
      <c r="C1171" s="3" t="str">
        <f>TRIM(CLEAN(PROPER(tblClean[[#This Row],[Transaction Description]])))</f>
        <v>Affect Machine.</v>
      </c>
      <c r="D1171" s="1" t="s">
        <v>35</v>
      </c>
      <c r="E1171" s="3" t="str">
        <f>TRIM(CLEAN(PROPER(tblClean[[#This Row],[Category]])))</f>
        <v>Health &amp; Fitness</v>
      </c>
      <c r="F1171" s="10" t="s">
        <v>2354</v>
      </c>
      <c r="G1171" s="1" t="s">
        <v>8</v>
      </c>
      <c r="H1171" s="15">
        <f>MONTH(tblClean[[#This Row],[Date]])</f>
        <v>11</v>
      </c>
      <c r="I1171" s="15">
        <f>YEAR(tblClean[[#This Row],[Date]])</f>
        <v>2023</v>
      </c>
    </row>
    <row r="1172" spans="1:9" x14ac:dyDescent="0.25">
      <c r="A1172" s="7">
        <v>45257</v>
      </c>
      <c r="B1172" s="2" t="s">
        <v>2351</v>
      </c>
      <c r="C1172" s="4" t="str">
        <f>TRIM(CLEAN(PROPER(tblClean[[#This Row],[Transaction Description]])))</f>
        <v>Candidate Bad Real.</v>
      </c>
      <c r="D1172" s="2" t="s">
        <v>38</v>
      </c>
      <c r="E1172" s="3" t="str">
        <f>TRIM(CLEAN(PROPER(tblClean[[#This Row],[Category]])))</f>
        <v>Salary</v>
      </c>
      <c r="F1172" s="11" t="s">
        <v>2352</v>
      </c>
      <c r="G1172" s="2" t="s">
        <v>8</v>
      </c>
      <c r="H1172" s="15">
        <f>MONTH(tblClean[[#This Row],[Date]])</f>
        <v>11</v>
      </c>
      <c r="I1172" s="15">
        <f>YEAR(tblClean[[#This Row],[Date]])</f>
        <v>2023</v>
      </c>
    </row>
    <row r="1173" spans="1:9" x14ac:dyDescent="0.25">
      <c r="A1173" s="6">
        <v>45258</v>
      </c>
      <c r="B1173" s="1" t="s">
        <v>2357</v>
      </c>
      <c r="C1173" s="3" t="str">
        <f>TRIM(CLEAN(PROPER(tblClean[[#This Row],[Transaction Description]])))</f>
        <v>Arrive Budget Education At Property.</v>
      </c>
      <c r="D1173" s="1" t="s">
        <v>22</v>
      </c>
      <c r="E1173" s="3" t="str">
        <f>TRIM(CLEAN(PROPER(tblClean[[#This Row],[Category]])))</f>
        <v>Shopping</v>
      </c>
      <c r="F1173" s="10" t="s">
        <v>2358</v>
      </c>
      <c r="G1173" s="1" t="s">
        <v>8</v>
      </c>
      <c r="H1173" s="15">
        <f>MONTH(tblClean[[#This Row],[Date]])</f>
        <v>11</v>
      </c>
      <c r="I1173" s="15">
        <f>YEAR(tblClean[[#This Row],[Date]])</f>
        <v>2023</v>
      </c>
    </row>
    <row r="1174" spans="1:9" x14ac:dyDescent="0.25">
      <c r="A1174" s="7">
        <v>45258</v>
      </c>
      <c r="B1174" s="2" t="s">
        <v>2355</v>
      </c>
      <c r="C1174" s="4" t="str">
        <f>TRIM(CLEAN(PROPER(tblClean[[#This Row],[Transaction Description]])))</f>
        <v>Cultural Allow.</v>
      </c>
      <c r="D1174" s="2" t="s">
        <v>10</v>
      </c>
      <c r="E1174" s="3" t="str">
        <f>TRIM(CLEAN(PROPER(tblClean[[#This Row],[Category]])))</f>
        <v>Utilities</v>
      </c>
      <c r="F1174" s="11" t="s">
        <v>2356</v>
      </c>
      <c r="G1174" s="2" t="s">
        <v>8</v>
      </c>
      <c r="H1174" s="15">
        <f>MONTH(tblClean[[#This Row],[Date]])</f>
        <v>11</v>
      </c>
      <c r="I1174" s="15">
        <f>YEAR(tblClean[[#This Row],[Date]])</f>
        <v>2023</v>
      </c>
    </row>
    <row r="1175" spans="1:9" x14ac:dyDescent="0.25">
      <c r="A1175" s="7">
        <v>45259</v>
      </c>
      <c r="B1175" s="2" t="s">
        <v>2359</v>
      </c>
      <c r="C1175" s="4" t="str">
        <f>TRIM(CLEAN(PROPER(tblClean[[#This Row],[Transaction Description]])))</f>
        <v>Turn Day Top.</v>
      </c>
      <c r="D1175" s="2" t="s">
        <v>27</v>
      </c>
      <c r="E1175" s="3" t="str">
        <f>TRIM(CLEAN(PROPER(tblClean[[#This Row],[Category]])))</f>
        <v>Other</v>
      </c>
      <c r="F1175" s="11" t="s">
        <v>2360</v>
      </c>
      <c r="G1175" s="2" t="s">
        <v>18</v>
      </c>
      <c r="H1175" s="15">
        <f>MONTH(tblClean[[#This Row],[Date]])</f>
        <v>11</v>
      </c>
      <c r="I1175" s="15">
        <f>YEAR(tblClean[[#This Row],[Date]])</f>
        <v>2023</v>
      </c>
    </row>
    <row r="1176" spans="1:9" x14ac:dyDescent="0.25">
      <c r="A1176" s="6">
        <v>45265</v>
      </c>
      <c r="B1176" s="1" t="s">
        <v>2361</v>
      </c>
      <c r="C1176" s="3" t="str">
        <f>TRIM(CLEAN(PROPER(tblClean[[#This Row],[Transaction Description]])))</f>
        <v>Ahead Certainly Second Everyone.</v>
      </c>
      <c r="D1176" s="1" t="s">
        <v>30</v>
      </c>
      <c r="E1176" s="3" t="str">
        <f>TRIM(CLEAN(PROPER(tblClean[[#This Row],[Category]])))</f>
        <v>Entertainment</v>
      </c>
      <c r="F1176" s="10" t="s">
        <v>2362</v>
      </c>
      <c r="G1176" s="1" t="s">
        <v>8</v>
      </c>
      <c r="H1176" s="15">
        <f>MONTH(tblClean[[#This Row],[Date]])</f>
        <v>12</v>
      </c>
      <c r="I1176" s="15">
        <f>YEAR(tblClean[[#This Row],[Date]])</f>
        <v>2023</v>
      </c>
    </row>
    <row r="1177" spans="1:9" x14ac:dyDescent="0.25">
      <c r="A1177" s="7">
        <v>45265</v>
      </c>
      <c r="B1177" s="2" t="s">
        <v>2363</v>
      </c>
      <c r="C1177" s="4" t="str">
        <f>TRIM(CLEAN(PROPER(tblClean[[#This Row],[Transaction Description]])))</f>
        <v>Goal Talk Sit Party.</v>
      </c>
      <c r="D1177" s="2" t="s">
        <v>35</v>
      </c>
      <c r="E1177" s="3" t="str">
        <f>TRIM(CLEAN(PROPER(tblClean[[#This Row],[Category]])))</f>
        <v>Health &amp; Fitness</v>
      </c>
      <c r="F1177" s="11" t="s">
        <v>2364</v>
      </c>
      <c r="G1177" s="2" t="s">
        <v>8</v>
      </c>
      <c r="H1177" s="15">
        <f>MONTH(tblClean[[#This Row],[Date]])</f>
        <v>12</v>
      </c>
      <c r="I1177" s="15">
        <f>YEAR(tblClean[[#This Row],[Date]])</f>
        <v>2023</v>
      </c>
    </row>
    <row r="1178" spans="1:9" x14ac:dyDescent="0.25">
      <c r="A1178" s="6">
        <v>45266</v>
      </c>
      <c r="B1178" s="1" t="s">
        <v>2365</v>
      </c>
      <c r="C1178" s="3" t="str">
        <f>TRIM(CLEAN(PROPER(tblClean[[#This Row],[Transaction Description]])))</f>
        <v>Attention Standard Shake More Respond.</v>
      </c>
      <c r="D1178" s="1" t="s">
        <v>13</v>
      </c>
      <c r="E1178" s="3" t="str">
        <f>TRIM(CLEAN(PROPER(tblClean[[#This Row],[Category]])))</f>
        <v>Rent</v>
      </c>
      <c r="F1178" s="10" t="s">
        <v>2366</v>
      </c>
      <c r="G1178" s="1" t="s">
        <v>8</v>
      </c>
      <c r="H1178" s="15">
        <f>MONTH(tblClean[[#This Row],[Date]])</f>
        <v>12</v>
      </c>
      <c r="I1178" s="15">
        <f>YEAR(tblClean[[#This Row],[Date]])</f>
        <v>2023</v>
      </c>
    </row>
    <row r="1179" spans="1:9" x14ac:dyDescent="0.25">
      <c r="A1179" s="7">
        <v>45268</v>
      </c>
      <c r="B1179" s="2" t="s">
        <v>2367</v>
      </c>
      <c r="C1179" s="4" t="str">
        <f>TRIM(CLEAN(PROPER(tblClean[[#This Row],[Transaction Description]])))</f>
        <v>Top Mr Wind.</v>
      </c>
      <c r="D1179" s="2" t="s">
        <v>38</v>
      </c>
      <c r="E1179" s="3" t="str">
        <f>TRIM(CLEAN(PROPER(tblClean[[#This Row],[Category]])))</f>
        <v>Salary</v>
      </c>
      <c r="F1179" s="11" t="s">
        <v>2368</v>
      </c>
      <c r="G1179" s="2" t="s">
        <v>8</v>
      </c>
      <c r="H1179" s="15">
        <f>MONTH(tblClean[[#This Row],[Date]])</f>
        <v>12</v>
      </c>
      <c r="I1179" s="15">
        <f>YEAR(tblClean[[#This Row],[Date]])</f>
        <v>2023</v>
      </c>
    </row>
    <row r="1180" spans="1:9" x14ac:dyDescent="0.25">
      <c r="A1180" s="7">
        <v>45269</v>
      </c>
      <c r="B1180" s="2" t="s">
        <v>2371</v>
      </c>
      <c r="C1180" s="4" t="str">
        <f>TRIM(CLEAN(PROPER(tblClean[[#This Row],[Transaction Description]])))</f>
        <v>Pull Blue Strong Wonder.</v>
      </c>
      <c r="D1180" s="2" t="s">
        <v>6</v>
      </c>
      <c r="E1180" s="3" t="str">
        <f>TRIM(CLEAN(PROPER(tblClean[[#This Row],[Category]])))</f>
        <v>Food &amp; Drink</v>
      </c>
      <c r="F1180" s="11" t="s">
        <v>2372</v>
      </c>
      <c r="G1180" s="2" t="s">
        <v>8</v>
      </c>
      <c r="H1180" s="15">
        <f>MONTH(tblClean[[#This Row],[Date]])</f>
        <v>12</v>
      </c>
      <c r="I1180" s="15">
        <f>YEAR(tblClean[[#This Row],[Date]])</f>
        <v>2023</v>
      </c>
    </row>
    <row r="1181" spans="1:9" x14ac:dyDescent="0.25">
      <c r="A1181" s="6">
        <v>45269</v>
      </c>
      <c r="B1181" s="1" t="s">
        <v>2369</v>
      </c>
      <c r="C1181" s="3" t="str">
        <f>TRIM(CLEAN(PROPER(tblClean[[#This Row],[Transaction Description]])))</f>
        <v>Turn Surface Listen.</v>
      </c>
      <c r="D1181" s="1" t="s">
        <v>22</v>
      </c>
      <c r="E1181" s="3" t="str">
        <f>TRIM(CLEAN(PROPER(tblClean[[#This Row],[Category]])))</f>
        <v>Shopping</v>
      </c>
      <c r="F1181" s="10" t="s">
        <v>2370</v>
      </c>
      <c r="G1181" s="1" t="s">
        <v>8</v>
      </c>
      <c r="H1181" s="15">
        <f>MONTH(tblClean[[#This Row],[Date]])</f>
        <v>12</v>
      </c>
      <c r="I1181" s="15">
        <f>YEAR(tblClean[[#This Row],[Date]])</f>
        <v>2023</v>
      </c>
    </row>
    <row r="1182" spans="1:9" x14ac:dyDescent="0.25">
      <c r="A1182" s="6">
        <v>45270</v>
      </c>
      <c r="B1182" s="1" t="s">
        <v>2373</v>
      </c>
      <c r="C1182" s="3" t="str">
        <f>TRIM(CLEAN(PROPER(tblClean[[#This Row],[Transaction Description]])))</f>
        <v>Method Imagine Seven.</v>
      </c>
      <c r="D1182" s="1" t="s">
        <v>38</v>
      </c>
      <c r="E1182" s="3" t="str">
        <f>TRIM(CLEAN(PROPER(tblClean[[#This Row],[Category]])))</f>
        <v>Salary</v>
      </c>
      <c r="F1182" s="10" t="s">
        <v>2374</v>
      </c>
      <c r="G1182" s="1" t="s">
        <v>8</v>
      </c>
      <c r="H1182" s="15">
        <f>MONTH(tblClean[[#This Row],[Date]])</f>
        <v>12</v>
      </c>
      <c r="I1182" s="15">
        <f>YEAR(tblClean[[#This Row],[Date]])</f>
        <v>2023</v>
      </c>
    </row>
    <row r="1183" spans="1:9" x14ac:dyDescent="0.25">
      <c r="A1183" s="7">
        <v>45271</v>
      </c>
      <c r="B1183" s="2" t="s">
        <v>2375</v>
      </c>
      <c r="C1183" s="4" t="str">
        <f>TRIM(CLEAN(PROPER(tblClean[[#This Row],[Transaction Description]])))</f>
        <v>Letter Mind Many.</v>
      </c>
      <c r="D1183" s="2" t="s">
        <v>13</v>
      </c>
      <c r="E1183" s="3" t="str">
        <f>TRIM(CLEAN(PROPER(tblClean[[#This Row],[Category]])))</f>
        <v>Rent</v>
      </c>
      <c r="F1183" s="11" t="s">
        <v>2376</v>
      </c>
      <c r="G1183" s="2" t="s">
        <v>8</v>
      </c>
      <c r="H1183" s="15">
        <f>MONTH(tblClean[[#This Row],[Date]])</f>
        <v>12</v>
      </c>
      <c r="I1183" s="15">
        <f>YEAR(tblClean[[#This Row],[Date]])</f>
        <v>2023</v>
      </c>
    </row>
    <row r="1184" spans="1:9" x14ac:dyDescent="0.25">
      <c r="A1184" s="6">
        <v>45273</v>
      </c>
      <c r="B1184" s="1" t="s">
        <v>2377</v>
      </c>
      <c r="C1184" s="3" t="str">
        <f>TRIM(CLEAN(PROPER(tblClean[[#This Row],[Transaction Description]])))</f>
        <v>News American Foreign.</v>
      </c>
      <c r="D1184" s="1" t="s">
        <v>35</v>
      </c>
      <c r="E1184" s="3" t="str">
        <f>TRIM(CLEAN(PROPER(tblClean[[#This Row],[Category]])))</f>
        <v>Health &amp; Fitness</v>
      </c>
      <c r="F1184" s="10" t="s">
        <v>2378</v>
      </c>
      <c r="G1184" s="1" t="s">
        <v>8</v>
      </c>
      <c r="H1184" s="15">
        <f>MONTH(tblClean[[#This Row],[Date]])</f>
        <v>12</v>
      </c>
      <c r="I1184" s="15">
        <f>YEAR(tblClean[[#This Row],[Date]])</f>
        <v>2023</v>
      </c>
    </row>
    <row r="1185" spans="1:9" x14ac:dyDescent="0.25">
      <c r="A1185" s="6">
        <v>45274</v>
      </c>
      <c r="B1185" s="1" t="s">
        <v>2381</v>
      </c>
      <c r="C1185" s="3" t="str">
        <f>TRIM(CLEAN(PROPER(tblClean[[#This Row],[Transaction Description]])))</f>
        <v>Network Fact Talk.</v>
      </c>
      <c r="D1185" s="1" t="s">
        <v>30</v>
      </c>
      <c r="E1185" s="3" t="str">
        <f>TRIM(CLEAN(PROPER(tblClean[[#This Row],[Category]])))</f>
        <v>Entertainment</v>
      </c>
      <c r="F1185" s="10" t="s">
        <v>2382</v>
      </c>
      <c r="G1185" s="1" t="s">
        <v>8</v>
      </c>
      <c r="H1185" s="15">
        <f>MONTH(tblClean[[#This Row],[Date]])</f>
        <v>12</v>
      </c>
      <c r="I1185" s="15">
        <f>YEAR(tblClean[[#This Row],[Date]])</f>
        <v>2023</v>
      </c>
    </row>
    <row r="1186" spans="1:9" x14ac:dyDescent="0.25">
      <c r="A1186" s="7">
        <v>45274</v>
      </c>
      <c r="B1186" s="2" t="s">
        <v>2379</v>
      </c>
      <c r="C1186" s="4" t="str">
        <f>TRIM(CLEAN(PROPER(tblClean[[#This Row],[Transaction Description]])))</f>
        <v>Exist Outside Find Wish.</v>
      </c>
      <c r="D1186" s="2" t="s">
        <v>16</v>
      </c>
      <c r="E1186" s="3" t="str">
        <f>TRIM(CLEAN(PROPER(tblClean[[#This Row],[Category]])))</f>
        <v>Investment</v>
      </c>
      <c r="F1186" s="11" t="s">
        <v>2380</v>
      </c>
      <c r="G1186" s="2" t="s">
        <v>18</v>
      </c>
      <c r="H1186" s="15">
        <f>MONTH(tblClean[[#This Row],[Date]])</f>
        <v>12</v>
      </c>
      <c r="I1186" s="15">
        <f>YEAR(tblClean[[#This Row],[Date]])</f>
        <v>2023</v>
      </c>
    </row>
    <row r="1187" spans="1:9" x14ac:dyDescent="0.25">
      <c r="A1187" s="7">
        <v>45278</v>
      </c>
      <c r="B1187" s="2" t="s">
        <v>2383</v>
      </c>
      <c r="C1187" s="4" t="str">
        <f>TRIM(CLEAN(PROPER(tblClean[[#This Row],[Transaction Description]])))</f>
        <v>Thus Sort.</v>
      </c>
      <c r="D1187" s="2" t="s">
        <v>38</v>
      </c>
      <c r="E1187" s="3" t="str">
        <f>TRIM(CLEAN(PROPER(tblClean[[#This Row],[Category]])))</f>
        <v>Salary</v>
      </c>
      <c r="F1187" s="11" t="s">
        <v>2384</v>
      </c>
      <c r="G1187" s="2" t="s">
        <v>8</v>
      </c>
      <c r="H1187" s="15">
        <f>MONTH(tblClean[[#This Row],[Date]])</f>
        <v>12</v>
      </c>
      <c r="I1187" s="15">
        <f>YEAR(tblClean[[#This Row],[Date]])</f>
        <v>2023</v>
      </c>
    </row>
    <row r="1188" spans="1:9" x14ac:dyDescent="0.25">
      <c r="A1188" s="6">
        <v>45280</v>
      </c>
      <c r="B1188" s="1" t="s">
        <v>2385</v>
      </c>
      <c r="C1188" s="3" t="str">
        <f>TRIM(CLEAN(PROPER(tblClean[[#This Row],[Transaction Description]])))</f>
        <v>Actually Purpose Public.</v>
      </c>
      <c r="D1188" s="1" t="s">
        <v>35</v>
      </c>
      <c r="E1188" s="3" t="str">
        <f>TRIM(CLEAN(PROPER(tblClean[[#This Row],[Category]])))</f>
        <v>Health &amp; Fitness</v>
      </c>
      <c r="F1188" s="10" t="s">
        <v>2386</v>
      </c>
      <c r="G1188" s="1" t="s">
        <v>8</v>
      </c>
      <c r="H1188" s="15">
        <f>MONTH(tblClean[[#This Row],[Date]])</f>
        <v>12</v>
      </c>
      <c r="I1188" s="15">
        <f>YEAR(tblClean[[#This Row],[Date]])</f>
        <v>2023</v>
      </c>
    </row>
    <row r="1189" spans="1:9" x14ac:dyDescent="0.25">
      <c r="A1189" s="7">
        <v>45281</v>
      </c>
      <c r="B1189" s="2" t="s">
        <v>2387</v>
      </c>
      <c r="C1189" s="4" t="str">
        <f>TRIM(CLEAN(PROPER(tblClean[[#This Row],[Transaction Description]])))</f>
        <v>Mission Put Budget House.</v>
      </c>
      <c r="D1189" s="2" t="s">
        <v>6</v>
      </c>
      <c r="E1189" s="3" t="str">
        <f>TRIM(CLEAN(PROPER(tblClean[[#This Row],[Category]])))</f>
        <v>Food &amp; Drink</v>
      </c>
      <c r="F1189" s="11" t="s">
        <v>2388</v>
      </c>
      <c r="G1189" s="2" t="s">
        <v>8</v>
      </c>
      <c r="H1189" s="15">
        <f>MONTH(tblClean[[#This Row],[Date]])</f>
        <v>12</v>
      </c>
      <c r="I1189" s="15">
        <f>YEAR(tblClean[[#This Row],[Date]])</f>
        <v>2023</v>
      </c>
    </row>
    <row r="1190" spans="1:9" x14ac:dyDescent="0.25">
      <c r="A1190" s="6">
        <v>45282</v>
      </c>
      <c r="B1190" s="1" t="s">
        <v>2389</v>
      </c>
      <c r="C1190" s="3" t="str">
        <f>TRIM(CLEAN(PROPER(tblClean[[#This Row],[Transaction Description]])))</f>
        <v>Ask Window Full.</v>
      </c>
      <c r="D1190" s="1" t="s">
        <v>6</v>
      </c>
      <c r="E1190" s="3" t="str">
        <f>TRIM(CLEAN(PROPER(tblClean[[#This Row],[Category]])))</f>
        <v>Food &amp; Drink</v>
      </c>
      <c r="F1190" s="10" t="s">
        <v>2390</v>
      </c>
      <c r="G1190" s="1" t="s">
        <v>8</v>
      </c>
      <c r="H1190" s="15">
        <f>MONTH(tblClean[[#This Row],[Date]])</f>
        <v>12</v>
      </c>
      <c r="I1190" s="15">
        <f>YEAR(tblClean[[#This Row],[Date]])</f>
        <v>2023</v>
      </c>
    </row>
    <row r="1191" spans="1:9" x14ac:dyDescent="0.25">
      <c r="A1191" s="7">
        <v>45283</v>
      </c>
      <c r="B1191" s="2" t="s">
        <v>2391</v>
      </c>
      <c r="C1191" s="4" t="str">
        <f>TRIM(CLEAN(PROPER(tblClean[[#This Row],[Transaction Description]])))</f>
        <v>Do Interesting Material.</v>
      </c>
      <c r="D1191" s="2" t="s">
        <v>53</v>
      </c>
      <c r="E1191" s="3" t="str">
        <f>TRIM(CLEAN(PROPER(tblClean[[#This Row],[Category]])))</f>
        <v>Travel</v>
      </c>
      <c r="F1191" s="11" t="s">
        <v>2392</v>
      </c>
      <c r="G1191" s="2" t="s">
        <v>8</v>
      </c>
      <c r="H1191" s="15">
        <f>MONTH(tblClean[[#This Row],[Date]])</f>
        <v>12</v>
      </c>
      <c r="I1191" s="15">
        <f>YEAR(tblClean[[#This Row],[Date]])</f>
        <v>2023</v>
      </c>
    </row>
    <row r="1192" spans="1:9" x14ac:dyDescent="0.25">
      <c r="A1192" s="6">
        <v>45285</v>
      </c>
      <c r="B1192" s="1" t="s">
        <v>2393</v>
      </c>
      <c r="C1192" s="3" t="str">
        <f>TRIM(CLEAN(PROPER(tblClean[[#This Row],[Transaction Description]])))</f>
        <v>Event Smile Popular Hundred Live.</v>
      </c>
      <c r="D1192" s="1" t="s">
        <v>38</v>
      </c>
      <c r="E1192" s="3" t="str">
        <f>TRIM(CLEAN(PROPER(tblClean[[#This Row],[Category]])))</f>
        <v>Salary</v>
      </c>
      <c r="F1192" s="10" t="s">
        <v>2394</v>
      </c>
      <c r="G1192" s="1" t="s">
        <v>8</v>
      </c>
      <c r="H1192" s="15">
        <f>MONTH(tblClean[[#This Row],[Date]])</f>
        <v>12</v>
      </c>
      <c r="I1192" s="15">
        <f>YEAR(tblClean[[#This Row],[Date]])</f>
        <v>2023</v>
      </c>
    </row>
    <row r="1193" spans="1:9" x14ac:dyDescent="0.25">
      <c r="A1193" s="7">
        <v>45286</v>
      </c>
      <c r="B1193" s="2" t="s">
        <v>2395</v>
      </c>
      <c r="C1193" s="4" t="str">
        <f>TRIM(CLEAN(PROPER(tblClean[[#This Row],[Transaction Description]])))</f>
        <v>Memory Challenge Lawyer Business.</v>
      </c>
      <c r="D1193" s="2" t="s">
        <v>6</v>
      </c>
      <c r="E1193" s="3" t="str">
        <f>TRIM(CLEAN(PROPER(tblClean[[#This Row],[Category]])))</f>
        <v>Food &amp; Drink</v>
      </c>
      <c r="F1193" s="11" t="s">
        <v>2396</v>
      </c>
      <c r="G1193" s="2" t="s">
        <v>8</v>
      </c>
      <c r="H1193" s="15">
        <f>MONTH(tblClean[[#This Row],[Date]])</f>
        <v>12</v>
      </c>
      <c r="I1193" s="15">
        <f>YEAR(tblClean[[#This Row],[Date]])</f>
        <v>2023</v>
      </c>
    </row>
    <row r="1194" spans="1:9" x14ac:dyDescent="0.25">
      <c r="A1194" s="6">
        <v>45287</v>
      </c>
      <c r="B1194" s="1" t="s">
        <v>2397</v>
      </c>
      <c r="C1194" s="3" t="str">
        <f>TRIM(CLEAN(PROPER(tblClean[[#This Row],[Transaction Description]])))</f>
        <v>Discuss Wall Ahead Scene.</v>
      </c>
      <c r="D1194" s="1" t="s">
        <v>35</v>
      </c>
      <c r="E1194" s="3" t="str">
        <f>TRIM(CLEAN(PROPER(tblClean[[#This Row],[Category]])))</f>
        <v>Health &amp; Fitness</v>
      </c>
      <c r="F1194" s="10" t="s">
        <v>2398</v>
      </c>
      <c r="G1194" s="1" t="s">
        <v>8</v>
      </c>
      <c r="H1194" s="15">
        <f>MONTH(tblClean[[#This Row],[Date]])</f>
        <v>12</v>
      </c>
      <c r="I1194" s="15">
        <f>YEAR(tblClean[[#This Row],[Date]])</f>
        <v>2023</v>
      </c>
    </row>
    <row r="1195" spans="1:9" x14ac:dyDescent="0.25">
      <c r="A1195" s="7">
        <v>45289</v>
      </c>
      <c r="B1195" s="2" t="s">
        <v>2403</v>
      </c>
      <c r="C1195" s="4" t="str">
        <f>TRIM(CLEAN(PROPER(tblClean[[#This Row],[Transaction Description]])))</f>
        <v>Society Dark Product Make.</v>
      </c>
      <c r="D1195" s="2" t="s">
        <v>30</v>
      </c>
      <c r="E1195" s="3" t="str">
        <f>TRIM(CLEAN(PROPER(tblClean[[#This Row],[Category]])))</f>
        <v>Entertainment</v>
      </c>
      <c r="F1195" s="11" t="s">
        <v>2404</v>
      </c>
      <c r="G1195" s="2" t="s">
        <v>8</v>
      </c>
      <c r="H1195" s="15">
        <f>MONTH(tblClean[[#This Row],[Date]])</f>
        <v>12</v>
      </c>
      <c r="I1195" s="15">
        <f>YEAR(tblClean[[#This Row],[Date]])</f>
        <v>2023</v>
      </c>
    </row>
    <row r="1196" spans="1:9" x14ac:dyDescent="0.25">
      <c r="A1196" s="7">
        <v>45289</v>
      </c>
      <c r="B1196" s="2" t="s">
        <v>2399</v>
      </c>
      <c r="C1196" s="4" t="str">
        <f>TRIM(CLEAN(PROPER(tblClean[[#This Row],[Transaction Description]])))</f>
        <v>Question Will Him Quickly.</v>
      </c>
      <c r="D1196" s="2" t="s">
        <v>38</v>
      </c>
      <c r="E1196" s="3" t="str">
        <f>TRIM(CLEAN(PROPER(tblClean[[#This Row],[Category]])))</f>
        <v>Salary</v>
      </c>
      <c r="F1196" s="11" t="s">
        <v>2400</v>
      </c>
      <c r="G1196" s="2" t="s">
        <v>8</v>
      </c>
      <c r="H1196" s="15">
        <f>MONTH(tblClean[[#This Row],[Date]])</f>
        <v>12</v>
      </c>
      <c r="I1196" s="15">
        <f>YEAR(tblClean[[#This Row],[Date]])</f>
        <v>2023</v>
      </c>
    </row>
    <row r="1197" spans="1:9" x14ac:dyDescent="0.25">
      <c r="A1197" s="6">
        <v>45289</v>
      </c>
      <c r="B1197" s="1" t="s">
        <v>2401</v>
      </c>
      <c r="C1197" s="3" t="str">
        <f>TRIM(CLEAN(PROPER(tblClean[[#This Row],[Transaction Description]])))</f>
        <v>Perform Benefit Baby.</v>
      </c>
      <c r="D1197" s="1" t="s">
        <v>38</v>
      </c>
      <c r="E1197" s="3" t="str">
        <f>TRIM(CLEAN(PROPER(tblClean[[#This Row],[Category]])))</f>
        <v>Salary</v>
      </c>
      <c r="F1197" s="10" t="s">
        <v>2402</v>
      </c>
      <c r="G1197" s="1" t="s">
        <v>8</v>
      </c>
      <c r="H1197" s="15">
        <f>MONTH(tblClean[[#This Row],[Date]])</f>
        <v>12</v>
      </c>
      <c r="I1197" s="15">
        <f>YEAR(tblClean[[#This Row],[Date]])</f>
        <v>2023</v>
      </c>
    </row>
    <row r="1198" spans="1:9" x14ac:dyDescent="0.25">
      <c r="A1198" s="7">
        <v>45293</v>
      </c>
      <c r="B1198" s="2" t="s">
        <v>2407</v>
      </c>
      <c r="C1198" s="4" t="str">
        <f>TRIM(CLEAN(PROPER(tblClean[[#This Row],[Transaction Description]])))</f>
        <v>Himself Fire Heavy.</v>
      </c>
      <c r="D1198" s="2" t="s">
        <v>13</v>
      </c>
      <c r="E1198" s="3" t="str">
        <f>TRIM(CLEAN(PROPER(tblClean[[#This Row],[Category]])))</f>
        <v>Rent</v>
      </c>
      <c r="F1198" s="11" t="s">
        <v>2408</v>
      </c>
      <c r="G1198" s="2" t="s">
        <v>8</v>
      </c>
      <c r="H1198" s="15">
        <f>MONTH(tblClean[[#This Row],[Date]])</f>
        <v>1</v>
      </c>
      <c r="I1198" s="15">
        <f>YEAR(tblClean[[#This Row],[Date]])</f>
        <v>2024</v>
      </c>
    </row>
    <row r="1199" spans="1:9" x14ac:dyDescent="0.25">
      <c r="A1199" s="6">
        <v>45293</v>
      </c>
      <c r="B1199" s="1" t="s">
        <v>2405</v>
      </c>
      <c r="C1199" s="3" t="str">
        <f>TRIM(CLEAN(PROPER(tblClean[[#This Row],[Transaction Description]])))</f>
        <v>Gas Teacher National Weight All.</v>
      </c>
      <c r="D1199" s="1" t="s">
        <v>53</v>
      </c>
      <c r="E1199" s="3" t="str">
        <f>TRIM(CLEAN(PROPER(tblClean[[#This Row],[Category]])))</f>
        <v>Travel</v>
      </c>
      <c r="F1199" s="10" t="s">
        <v>2406</v>
      </c>
      <c r="G1199" s="1" t="s">
        <v>8</v>
      </c>
      <c r="H1199" s="15">
        <f>MONTH(tblClean[[#This Row],[Date]])</f>
        <v>1</v>
      </c>
      <c r="I1199" s="15">
        <f>YEAR(tblClean[[#This Row],[Date]])</f>
        <v>2024</v>
      </c>
    </row>
    <row r="1200" spans="1:9" x14ac:dyDescent="0.25">
      <c r="A1200" s="6">
        <v>45295</v>
      </c>
      <c r="B1200" s="1" t="s">
        <v>2409</v>
      </c>
      <c r="C1200" s="3" t="str">
        <f>TRIM(CLEAN(PROPER(tblClean[[#This Row],[Transaction Description]])))</f>
        <v>Allow News.</v>
      </c>
      <c r="D1200" s="1" t="s">
        <v>16</v>
      </c>
      <c r="E1200" s="3" t="str">
        <f>TRIM(CLEAN(PROPER(tblClean[[#This Row],[Category]])))</f>
        <v>Investment</v>
      </c>
      <c r="F1200" s="10" t="s">
        <v>2410</v>
      </c>
      <c r="G1200" s="1" t="s">
        <v>18</v>
      </c>
      <c r="H1200" s="15">
        <f>MONTH(tblClean[[#This Row],[Date]])</f>
        <v>1</v>
      </c>
      <c r="I1200" s="15">
        <f>YEAR(tblClean[[#This Row],[Date]])</f>
        <v>2024</v>
      </c>
    </row>
    <row r="1201" spans="1:9" x14ac:dyDescent="0.25">
      <c r="A1201" s="7">
        <v>45295</v>
      </c>
      <c r="B1201" s="2" t="s">
        <v>2411</v>
      </c>
      <c r="C1201" s="4" t="str">
        <f>TRIM(CLEAN(PROPER(tblClean[[#This Row],[Transaction Description]])))</f>
        <v>Man Care Resource.</v>
      </c>
      <c r="D1201" s="2" t="s">
        <v>16</v>
      </c>
      <c r="E1201" s="3" t="str">
        <f>TRIM(CLEAN(PROPER(tblClean[[#This Row],[Category]])))</f>
        <v>Investment</v>
      </c>
      <c r="F1201" s="11" t="s">
        <v>2412</v>
      </c>
      <c r="G1201" s="2" t="s">
        <v>18</v>
      </c>
      <c r="H1201" s="15">
        <f>MONTH(tblClean[[#This Row],[Date]])</f>
        <v>1</v>
      </c>
      <c r="I1201" s="15">
        <f>YEAR(tblClean[[#This Row],[Date]])</f>
        <v>2024</v>
      </c>
    </row>
    <row r="1202" spans="1:9" x14ac:dyDescent="0.25">
      <c r="A1202" s="6">
        <v>45298</v>
      </c>
      <c r="B1202" s="1" t="s">
        <v>2413</v>
      </c>
      <c r="C1202" s="3" t="str">
        <f>TRIM(CLEAN(PROPER(tblClean[[#This Row],[Transaction Description]])))</f>
        <v>Notice Make.</v>
      </c>
      <c r="D1202" s="1" t="s">
        <v>27</v>
      </c>
      <c r="E1202" s="3" t="str">
        <f>TRIM(CLEAN(PROPER(tblClean[[#This Row],[Category]])))</f>
        <v>Other</v>
      </c>
      <c r="F1202" s="10" t="s">
        <v>2414</v>
      </c>
      <c r="G1202" s="1" t="s">
        <v>18</v>
      </c>
      <c r="H1202" s="15">
        <f>MONTH(tblClean[[#This Row],[Date]])</f>
        <v>1</v>
      </c>
      <c r="I1202" s="15">
        <f>YEAR(tblClean[[#This Row],[Date]])</f>
        <v>2024</v>
      </c>
    </row>
    <row r="1203" spans="1:9" x14ac:dyDescent="0.25">
      <c r="A1203" s="7">
        <v>45300</v>
      </c>
      <c r="B1203" s="2" t="s">
        <v>2415</v>
      </c>
      <c r="C1203" s="4" t="str">
        <f>TRIM(CLEAN(PROPER(tblClean[[#This Row],[Transaction Description]])))</f>
        <v>Occur Live Take Media Hot.</v>
      </c>
      <c r="D1203" s="2" t="s">
        <v>30</v>
      </c>
      <c r="E1203" s="3" t="str">
        <f>TRIM(CLEAN(PROPER(tblClean[[#This Row],[Category]])))</f>
        <v>Entertainment</v>
      </c>
      <c r="F1203" s="11" t="s">
        <v>2416</v>
      </c>
      <c r="G1203" s="2" t="s">
        <v>8</v>
      </c>
      <c r="H1203" s="15">
        <f>MONTH(tblClean[[#This Row],[Date]])</f>
        <v>1</v>
      </c>
      <c r="I1203" s="15">
        <f>YEAR(tblClean[[#This Row],[Date]])</f>
        <v>2024</v>
      </c>
    </row>
    <row r="1204" spans="1:9" x14ac:dyDescent="0.25">
      <c r="A1204" s="6">
        <v>45300</v>
      </c>
      <c r="B1204" s="1" t="s">
        <v>2417</v>
      </c>
      <c r="C1204" s="3" t="str">
        <f>TRIM(CLEAN(PROPER(tblClean[[#This Row],[Transaction Description]])))</f>
        <v>Wife Pay Good Within Fly.</v>
      </c>
      <c r="D1204" s="1" t="s">
        <v>27</v>
      </c>
      <c r="E1204" s="3" t="str">
        <f>TRIM(CLEAN(PROPER(tblClean[[#This Row],[Category]])))</f>
        <v>Other</v>
      </c>
      <c r="F1204" s="10" t="s">
        <v>2418</v>
      </c>
      <c r="G1204" s="1" t="s">
        <v>18</v>
      </c>
      <c r="H1204" s="15">
        <f>MONTH(tblClean[[#This Row],[Date]])</f>
        <v>1</v>
      </c>
      <c r="I1204" s="15">
        <f>YEAR(tblClean[[#This Row],[Date]])</f>
        <v>2024</v>
      </c>
    </row>
    <row r="1205" spans="1:9" x14ac:dyDescent="0.25">
      <c r="A1205" s="7">
        <v>45301</v>
      </c>
      <c r="B1205" s="2" t="s">
        <v>2419</v>
      </c>
      <c r="C1205" s="4" t="str">
        <f>TRIM(CLEAN(PROPER(tblClean[[#This Row],[Transaction Description]])))</f>
        <v>And Student Give Score Agree.</v>
      </c>
      <c r="D1205" s="2" t="s">
        <v>13</v>
      </c>
      <c r="E1205" s="3" t="str">
        <f>TRIM(CLEAN(PROPER(tblClean[[#This Row],[Category]])))</f>
        <v>Rent</v>
      </c>
      <c r="F1205" s="11" t="s">
        <v>2420</v>
      </c>
      <c r="G1205" s="2" t="s">
        <v>8</v>
      </c>
      <c r="H1205" s="15">
        <f>MONTH(tblClean[[#This Row],[Date]])</f>
        <v>1</v>
      </c>
      <c r="I1205" s="15">
        <f>YEAR(tblClean[[#This Row],[Date]])</f>
        <v>2024</v>
      </c>
    </row>
    <row r="1206" spans="1:9" x14ac:dyDescent="0.25">
      <c r="A1206" s="7">
        <v>45302</v>
      </c>
      <c r="B1206" s="2" t="s">
        <v>2423</v>
      </c>
      <c r="C1206" s="4" t="str">
        <f>TRIM(CLEAN(PROPER(tblClean[[#This Row],[Transaction Description]])))</f>
        <v>Doctor Fine Be.</v>
      </c>
      <c r="D1206" s="2" t="s">
        <v>16</v>
      </c>
      <c r="E1206" s="3" t="str">
        <f>TRIM(CLEAN(PROPER(tblClean[[#This Row],[Category]])))</f>
        <v>Investment</v>
      </c>
      <c r="F1206" s="11" t="s">
        <v>2424</v>
      </c>
      <c r="G1206" s="2" t="s">
        <v>18</v>
      </c>
      <c r="H1206" s="15">
        <f>MONTH(tblClean[[#This Row],[Date]])</f>
        <v>1</v>
      </c>
      <c r="I1206" s="15">
        <f>YEAR(tblClean[[#This Row],[Date]])</f>
        <v>2024</v>
      </c>
    </row>
    <row r="1207" spans="1:9" x14ac:dyDescent="0.25">
      <c r="A1207" s="6">
        <v>45302</v>
      </c>
      <c r="B1207" s="1" t="s">
        <v>2425</v>
      </c>
      <c r="C1207" s="3" t="str">
        <f>TRIM(CLEAN(PROPER(tblClean[[#This Row],[Transaction Description]])))</f>
        <v>Boy College Mrs.</v>
      </c>
      <c r="D1207" s="1" t="s">
        <v>38</v>
      </c>
      <c r="E1207" s="3" t="str">
        <f>TRIM(CLEAN(PROPER(tblClean[[#This Row],[Category]])))</f>
        <v>Salary</v>
      </c>
      <c r="F1207" s="10" t="s">
        <v>2426</v>
      </c>
      <c r="G1207" s="1" t="s">
        <v>8</v>
      </c>
      <c r="H1207" s="15">
        <f>MONTH(tblClean[[#This Row],[Date]])</f>
        <v>1</v>
      </c>
      <c r="I1207" s="15">
        <f>YEAR(tblClean[[#This Row],[Date]])</f>
        <v>2024</v>
      </c>
    </row>
    <row r="1208" spans="1:9" x14ac:dyDescent="0.25">
      <c r="A1208" s="6">
        <v>45302</v>
      </c>
      <c r="B1208" s="1" t="s">
        <v>2421</v>
      </c>
      <c r="C1208" s="3" t="str">
        <f>TRIM(CLEAN(PROPER(tblClean[[#This Row],[Transaction Description]])))</f>
        <v>Best Generation Group Goal.</v>
      </c>
      <c r="D1208" s="1" t="s">
        <v>10</v>
      </c>
      <c r="E1208" s="3" t="str">
        <f>TRIM(CLEAN(PROPER(tblClean[[#This Row],[Category]])))</f>
        <v>Utilities</v>
      </c>
      <c r="F1208" s="10" t="s">
        <v>2422</v>
      </c>
      <c r="G1208" s="1" t="s">
        <v>8</v>
      </c>
      <c r="H1208" s="15">
        <f>MONTH(tblClean[[#This Row],[Date]])</f>
        <v>1</v>
      </c>
      <c r="I1208" s="15">
        <f>YEAR(tblClean[[#This Row],[Date]])</f>
        <v>2024</v>
      </c>
    </row>
    <row r="1209" spans="1:9" x14ac:dyDescent="0.25">
      <c r="A1209" s="7">
        <v>45303</v>
      </c>
      <c r="B1209" s="2" t="s">
        <v>2427</v>
      </c>
      <c r="C1209" s="4" t="str">
        <f>TRIM(CLEAN(PROPER(tblClean[[#This Row],[Transaction Description]])))</f>
        <v>Price Institution Method Inside.</v>
      </c>
      <c r="D1209" s="2" t="s">
        <v>10</v>
      </c>
      <c r="E1209" s="3" t="str">
        <f>TRIM(CLEAN(PROPER(tblClean[[#This Row],[Category]])))</f>
        <v>Utilities</v>
      </c>
      <c r="F1209" s="11" t="s">
        <v>2428</v>
      </c>
      <c r="G1209" s="2" t="s">
        <v>8</v>
      </c>
      <c r="H1209" s="15">
        <f>MONTH(tblClean[[#This Row],[Date]])</f>
        <v>1</v>
      </c>
      <c r="I1209" s="15">
        <f>YEAR(tblClean[[#This Row],[Date]])</f>
        <v>2024</v>
      </c>
    </row>
    <row r="1210" spans="1:9" x14ac:dyDescent="0.25">
      <c r="A1210" s="6">
        <v>45304</v>
      </c>
      <c r="B1210" s="1" t="s">
        <v>2429</v>
      </c>
      <c r="C1210" s="3" t="str">
        <f>TRIM(CLEAN(PROPER(tblClean[[#This Row],[Transaction Description]])))</f>
        <v>Onto Worry Help Hope.</v>
      </c>
      <c r="D1210" s="1" t="s">
        <v>16</v>
      </c>
      <c r="E1210" s="3" t="str">
        <f>TRIM(CLEAN(PROPER(tblClean[[#This Row],[Category]])))</f>
        <v>Investment</v>
      </c>
      <c r="F1210" s="10" t="s">
        <v>2430</v>
      </c>
      <c r="G1210" s="1" t="s">
        <v>18</v>
      </c>
      <c r="H1210" s="15">
        <f>MONTH(tblClean[[#This Row],[Date]])</f>
        <v>1</v>
      </c>
      <c r="I1210" s="15">
        <f>YEAR(tblClean[[#This Row],[Date]])</f>
        <v>2024</v>
      </c>
    </row>
    <row r="1211" spans="1:9" x14ac:dyDescent="0.25">
      <c r="A1211" s="7">
        <v>45305</v>
      </c>
      <c r="B1211" s="2" t="s">
        <v>2431</v>
      </c>
      <c r="C1211" s="4" t="str">
        <f>TRIM(CLEAN(PROPER(tblClean[[#This Row],[Transaction Description]])))</f>
        <v>Space Beyond.</v>
      </c>
      <c r="D1211" s="2" t="s">
        <v>35</v>
      </c>
      <c r="E1211" s="3" t="str">
        <f>TRIM(CLEAN(PROPER(tblClean[[#This Row],[Category]])))</f>
        <v>Health &amp; Fitness</v>
      </c>
      <c r="F1211" s="11" t="s">
        <v>2432</v>
      </c>
      <c r="G1211" s="2" t="s">
        <v>8</v>
      </c>
      <c r="H1211" s="15">
        <f>MONTH(tblClean[[#This Row],[Date]])</f>
        <v>1</v>
      </c>
      <c r="I1211" s="15">
        <f>YEAR(tblClean[[#This Row],[Date]])</f>
        <v>2024</v>
      </c>
    </row>
    <row r="1212" spans="1:9" x14ac:dyDescent="0.25">
      <c r="A1212" s="6">
        <v>45306</v>
      </c>
      <c r="B1212" s="1" t="s">
        <v>2433</v>
      </c>
      <c r="C1212" s="3" t="str">
        <f>TRIM(CLEAN(PROPER(tblClean[[#This Row],[Transaction Description]])))</f>
        <v>Market Specific Property Coach.</v>
      </c>
      <c r="D1212" s="1" t="s">
        <v>30</v>
      </c>
      <c r="E1212" s="3" t="str">
        <f>TRIM(CLEAN(PROPER(tblClean[[#This Row],[Category]])))</f>
        <v>Entertainment</v>
      </c>
      <c r="F1212" s="10" t="s">
        <v>2434</v>
      </c>
      <c r="G1212" s="1" t="s">
        <v>8</v>
      </c>
      <c r="H1212" s="15">
        <f>MONTH(tblClean[[#This Row],[Date]])</f>
        <v>1</v>
      </c>
      <c r="I1212" s="15">
        <f>YEAR(tblClean[[#This Row],[Date]])</f>
        <v>2024</v>
      </c>
    </row>
    <row r="1213" spans="1:9" x14ac:dyDescent="0.25">
      <c r="A1213" s="7">
        <v>45307</v>
      </c>
      <c r="B1213" s="2" t="s">
        <v>2439</v>
      </c>
      <c r="C1213" s="4" t="str">
        <f>TRIM(CLEAN(PROPER(tblClean[[#This Row],[Transaction Description]])))</f>
        <v>Behind Front Attack Song Little.</v>
      </c>
      <c r="D1213" s="2" t="s">
        <v>35</v>
      </c>
      <c r="E1213" s="3" t="str">
        <f>TRIM(CLEAN(PROPER(tblClean[[#This Row],[Category]])))</f>
        <v>Health &amp; Fitness</v>
      </c>
      <c r="F1213" s="11" t="s">
        <v>2440</v>
      </c>
      <c r="G1213" s="2" t="s">
        <v>8</v>
      </c>
      <c r="H1213" s="15">
        <f>MONTH(tblClean[[#This Row],[Date]])</f>
        <v>1</v>
      </c>
      <c r="I1213" s="15">
        <f>YEAR(tblClean[[#This Row],[Date]])</f>
        <v>2024</v>
      </c>
    </row>
    <row r="1214" spans="1:9" x14ac:dyDescent="0.25">
      <c r="A1214" s="6">
        <v>45307</v>
      </c>
      <c r="B1214" s="1" t="s">
        <v>2437</v>
      </c>
      <c r="C1214" s="3" t="str">
        <f>TRIM(CLEAN(PROPER(tblClean[[#This Row],[Transaction Description]])))</f>
        <v>Degree Enter Father Of Source.</v>
      </c>
      <c r="D1214" s="1" t="s">
        <v>27</v>
      </c>
      <c r="E1214" s="3" t="str">
        <f>TRIM(CLEAN(PROPER(tblClean[[#This Row],[Category]])))</f>
        <v>Other</v>
      </c>
      <c r="F1214" s="10" t="s">
        <v>2438</v>
      </c>
      <c r="G1214" s="1" t="s">
        <v>18</v>
      </c>
      <c r="H1214" s="15">
        <f>MONTH(tblClean[[#This Row],[Date]])</f>
        <v>1</v>
      </c>
      <c r="I1214" s="15">
        <f>YEAR(tblClean[[#This Row],[Date]])</f>
        <v>2024</v>
      </c>
    </row>
    <row r="1215" spans="1:9" x14ac:dyDescent="0.25">
      <c r="A1215" s="7">
        <v>45307</v>
      </c>
      <c r="B1215" s="2" t="s">
        <v>2435</v>
      </c>
      <c r="C1215" s="4" t="str">
        <f>TRIM(CLEAN(PROPER(tblClean[[#This Row],[Transaction Description]])))</f>
        <v>Wide Cut Player Wind.</v>
      </c>
      <c r="D1215" s="2" t="s">
        <v>53</v>
      </c>
      <c r="E1215" s="3" t="str">
        <f>TRIM(CLEAN(PROPER(tblClean[[#This Row],[Category]])))</f>
        <v>Travel</v>
      </c>
      <c r="F1215" s="11" t="s">
        <v>2436</v>
      </c>
      <c r="G1215" s="2" t="s">
        <v>8</v>
      </c>
      <c r="H1215" s="15">
        <f>MONTH(tblClean[[#This Row],[Date]])</f>
        <v>1</v>
      </c>
      <c r="I1215" s="15">
        <f>YEAR(tblClean[[#This Row],[Date]])</f>
        <v>2024</v>
      </c>
    </row>
    <row r="1216" spans="1:9" x14ac:dyDescent="0.25">
      <c r="A1216" s="6">
        <v>45308</v>
      </c>
      <c r="B1216" s="1" t="s">
        <v>2441</v>
      </c>
      <c r="C1216" s="3" t="str">
        <f>TRIM(CLEAN(PROPER(tblClean[[#This Row],[Transaction Description]])))</f>
        <v>Somebody Prepare Few Sound.</v>
      </c>
      <c r="D1216" s="1" t="s">
        <v>30</v>
      </c>
      <c r="E1216" s="3" t="str">
        <f>TRIM(CLEAN(PROPER(tblClean[[#This Row],[Category]])))</f>
        <v>Entertainment</v>
      </c>
      <c r="F1216" s="10" t="s">
        <v>2442</v>
      </c>
      <c r="G1216" s="1" t="s">
        <v>8</v>
      </c>
      <c r="H1216" s="15">
        <f>MONTH(tblClean[[#This Row],[Date]])</f>
        <v>1</v>
      </c>
      <c r="I1216" s="15">
        <f>YEAR(tblClean[[#This Row],[Date]])</f>
        <v>2024</v>
      </c>
    </row>
    <row r="1217" spans="1:9" x14ac:dyDescent="0.25">
      <c r="A1217" s="6">
        <v>45310</v>
      </c>
      <c r="B1217" s="1" t="s">
        <v>2449</v>
      </c>
      <c r="C1217" s="3" t="str">
        <f>TRIM(CLEAN(PROPER(tblClean[[#This Row],[Transaction Description]])))</f>
        <v>Table Trade Various Risk Art.</v>
      </c>
      <c r="D1217" s="1" t="s">
        <v>35</v>
      </c>
      <c r="E1217" s="3" t="str">
        <f>TRIM(CLEAN(PROPER(tblClean[[#This Row],[Category]])))</f>
        <v>Health &amp; Fitness</v>
      </c>
      <c r="F1217" s="10" t="s">
        <v>2450</v>
      </c>
      <c r="G1217" s="1" t="s">
        <v>8</v>
      </c>
      <c r="H1217" s="15">
        <f>MONTH(tblClean[[#This Row],[Date]])</f>
        <v>1</v>
      </c>
      <c r="I1217" s="15">
        <f>YEAR(tblClean[[#This Row],[Date]])</f>
        <v>2024</v>
      </c>
    </row>
    <row r="1218" spans="1:9" x14ac:dyDescent="0.25">
      <c r="A1218" s="7">
        <v>45310</v>
      </c>
      <c r="B1218" s="2" t="s">
        <v>2443</v>
      </c>
      <c r="C1218" s="4" t="str">
        <f>TRIM(CLEAN(PROPER(tblClean[[#This Row],[Transaction Description]])))</f>
        <v>Finish Increase Economy Middle Public.</v>
      </c>
      <c r="D1218" s="2" t="s">
        <v>53</v>
      </c>
      <c r="E1218" s="3" t="str">
        <f>TRIM(CLEAN(PROPER(tblClean[[#This Row],[Category]])))</f>
        <v>Travel</v>
      </c>
      <c r="F1218" s="11" t="s">
        <v>2444</v>
      </c>
      <c r="G1218" s="2" t="s">
        <v>8</v>
      </c>
      <c r="H1218" s="15">
        <f>MONTH(tblClean[[#This Row],[Date]])</f>
        <v>1</v>
      </c>
      <c r="I1218" s="15">
        <f>YEAR(tblClean[[#This Row],[Date]])</f>
        <v>2024</v>
      </c>
    </row>
    <row r="1219" spans="1:9" x14ac:dyDescent="0.25">
      <c r="A1219" s="6">
        <v>45310</v>
      </c>
      <c r="B1219" s="1" t="s">
        <v>2445</v>
      </c>
      <c r="C1219" s="3" t="str">
        <f>TRIM(CLEAN(PROPER(tblClean[[#This Row],[Transaction Description]])))</f>
        <v>Thing Physical Might.</v>
      </c>
      <c r="D1219" s="1" t="s">
        <v>10</v>
      </c>
      <c r="E1219" s="3" t="str">
        <f>TRIM(CLEAN(PROPER(tblClean[[#This Row],[Category]])))</f>
        <v>Utilities</v>
      </c>
      <c r="F1219" s="10" t="s">
        <v>2446</v>
      </c>
      <c r="G1219" s="1" t="s">
        <v>8</v>
      </c>
      <c r="H1219" s="15">
        <f>MONTH(tblClean[[#This Row],[Date]])</f>
        <v>1</v>
      </c>
      <c r="I1219" s="15">
        <f>YEAR(tblClean[[#This Row],[Date]])</f>
        <v>2024</v>
      </c>
    </row>
    <row r="1220" spans="1:9" x14ac:dyDescent="0.25">
      <c r="A1220" s="7">
        <v>45310</v>
      </c>
      <c r="B1220" s="2" t="s">
        <v>2447</v>
      </c>
      <c r="C1220" s="4" t="str">
        <f>TRIM(CLEAN(PROPER(tblClean[[#This Row],[Transaction Description]])))</f>
        <v>Material Produce Station Visit Environmental.</v>
      </c>
      <c r="D1220" s="2" t="s">
        <v>10</v>
      </c>
      <c r="E1220" s="3" t="str">
        <f>TRIM(CLEAN(PROPER(tblClean[[#This Row],[Category]])))</f>
        <v>Utilities</v>
      </c>
      <c r="F1220" s="11" t="s">
        <v>2448</v>
      </c>
      <c r="G1220" s="2" t="s">
        <v>8</v>
      </c>
      <c r="H1220" s="15">
        <f>MONTH(tblClean[[#This Row],[Date]])</f>
        <v>1</v>
      </c>
      <c r="I1220" s="15">
        <f>YEAR(tblClean[[#This Row],[Date]])</f>
        <v>2024</v>
      </c>
    </row>
    <row r="1221" spans="1:9" x14ac:dyDescent="0.25">
      <c r="A1221" s="7">
        <v>45311</v>
      </c>
      <c r="B1221" s="2" t="s">
        <v>2451</v>
      </c>
      <c r="C1221" s="4" t="str">
        <f>TRIM(CLEAN(PROPER(tblClean[[#This Row],[Transaction Description]])))</f>
        <v>Leg Drive Second She.</v>
      </c>
      <c r="D1221" s="2" t="s">
        <v>38</v>
      </c>
      <c r="E1221" s="3" t="str">
        <f>TRIM(CLEAN(PROPER(tblClean[[#This Row],[Category]])))</f>
        <v>Salary</v>
      </c>
      <c r="F1221" s="11" t="s">
        <v>2452</v>
      </c>
      <c r="G1221" s="2" t="s">
        <v>8</v>
      </c>
      <c r="H1221" s="15">
        <f>MONTH(tblClean[[#This Row],[Date]])</f>
        <v>1</v>
      </c>
      <c r="I1221" s="15">
        <f>YEAR(tblClean[[#This Row],[Date]])</f>
        <v>2024</v>
      </c>
    </row>
    <row r="1222" spans="1:9" x14ac:dyDescent="0.25">
      <c r="A1222" s="6">
        <v>45313</v>
      </c>
      <c r="B1222" s="1" t="s">
        <v>2453</v>
      </c>
      <c r="C1222" s="3" t="str">
        <f>TRIM(CLEAN(PROPER(tblClean[[#This Row],[Transaction Description]])))</f>
        <v>Five Store Ask Data.</v>
      </c>
      <c r="D1222" s="1" t="s">
        <v>22</v>
      </c>
      <c r="E1222" s="3" t="str">
        <f>TRIM(CLEAN(PROPER(tblClean[[#This Row],[Category]])))</f>
        <v>Shopping</v>
      </c>
      <c r="F1222" s="10" t="s">
        <v>2454</v>
      </c>
      <c r="G1222" s="1" t="s">
        <v>8</v>
      </c>
      <c r="H1222" s="15">
        <f>MONTH(tblClean[[#This Row],[Date]])</f>
        <v>1</v>
      </c>
      <c r="I1222" s="15">
        <f>YEAR(tblClean[[#This Row],[Date]])</f>
        <v>2024</v>
      </c>
    </row>
    <row r="1223" spans="1:9" x14ac:dyDescent="0.25">
      <c r="A1223" s="7">
        <v>45314</v>
      </c>
      <c r="B1223" s="2" t="s">
        <v>2455</v>
      </c>
      <c r="C1223" s="4" t="str">
        <f>TRIM(CLEAN(PROPER(tblClean[[#This Row],[Transaction Description]])))</f>
        <v>Statement Position Either.</v>
      </c>
      <c r="D1223" s="2" t="s">
        <v>53</v>
      </c>
      <c r="E1223" s="3" t="str">
        <f>TRIM(CLEAN(PROPER(tblClean[[#This Row],[Category]])))</f>
        <v>Travel</v>
      </c>
      <c r="F1223" s="11" t="s">
        <v>2456</v>
      </c>
      <c r="G1223" s="2" t="s">
        <v>8</v>
      </c>
      <c r="H1223" s="15">
        <f>MONTH(tblClean[[#This Row],[Date]])</f>
        <v>1</v>
      </c>
      <c r="I1223" s="15">
        <f>YEAR(tblClean[[#This Row],[Date]])</f>
        <v>2024</v>
      </c>
    </row>
    <row r="1224" spans="1:9" x14ac:dyDescent="0.25">
      <c r="A1224" s="6">
        <v>45315</v>
      </c>
      <c r="B1224" s="1" t="s">
        <v>2457</v>
      </c>
      <c r="C1224" s="3" t="str">
        <f>TRIM(CLEAN(PROPER(tblClean[[#This Row],[Transaction Description]])))</f>
        <v>Draw Change Agree Someone.</v>
      </c>
      <c r="D1224" s="1" t="s">
        <v>6</v>
      </c>
      <c r="E1224" s="3" t="str">
        <f>TRIM(CLEAN(PROPER(tblClean[[#This Row],[Category]])))</f>
        <v>Food &amp; Drink</v>
      </c>
      <c r="F1224" s="10" t="s">
        <v>2458</v>
      </c>
      <c r="G1224" s="1" t="s">
        <v>8</v>
      </c>
      <c r="H1224" s="15">
        <f>MONTH(tblClean[[#This Row],[Date]])</f>
        <v>1</v>
      </c>
      <c r="I1224" s="15">
        <f>YEAR(tblClean[[#This Row],[Date]])</f>
        <v>2024</v>
      </c>
    </row>
    <row r="1225" spans="1:9" x14ac:dyDescent="0.25">
      <c r="A1225" s="7">
        <v>45316</v>
      </c>
      <c r="B1225" s="2" t="s">
        <v>2459</v>
      </c>
      <c r="C1225" s="4" t="str">
        <f>TRIM(CLEAN(PROPER(tblClean[[#This Row],[Transaction Description]])))</f>
        <v>Magazine Yard Instead Town.</v>
      </c>
      <c r="D1225" s="2" t="s">
        <v>16</v>
      </c>
      <c r="E1225" s="3" t="str">
        <f>TRIM(CLEAN(PROPER(tblClean[[#This Row],[Category]])))</f>
        <v>Investment</v>
      </c>
      <c r="F1225" s="11" t="s">
        <v>2460</v>
      </c>
      <c r="G1225" s="2" t="s">
        <v>18</v>
      </c>
      <c r="H1225" s="15">
        <f>MONTH(tblClean[[#This Row],[Date]])</f>
        <v>1</v>
      </c>
      <c r="I1225" s="15">
        <f>YEAR(tblClean[[#This Row],[Date]])</f>
        <v>2024</v>
      </c>
    </row>
    <row r="1226" spans="1:9" x14ac:dyDescent="0.25">
      <c r="A1226" s="6">
        <v>45317</v>
      </c>
      <c r="B1226" s="1" t="s">
        <v>2461</v>
      </c>
      <c r="C1226" s="3" t="str">
        <f>TRIM(CLEAN(PROPER(tblClean[[#This Row],[Transaction Description]])))</f>
        <v>Evening Ahead Smile.</v>
      </c>
      <c r="D1226" s="1" t="s">
        <v>30</v>
      </c>
      <c r="E1226" s="3" t="str">
        <f>TRIM(CLEAN(PROPER(tblClean[[#This Row],[Category]])))</f>
        <v>Entertainment</v>
      </c>
      <c r="F1226" s="10" t="s">
        <v>2462</v>
      </c>
      <c r="G1226" s="1" t="s">
        <v>8</v>
      </c>
      <c r="H1226" s="15">
        <f>MONTH(tblClean[[#This Row],[Date]])</f>
        <v>1</v>
      </c>
      <c r="I1226" s="15">
        <f>YEAR(tblClean[[#This Row],[Date]])</f>
        <v>2024</v>
      </c>
    </row>
    <row r="1227" spans="1:9" x14ac:dyDescent="0.25">
      <c r="A1227" s="6">
        <v>45317</v>
      </c>
      <c r="B1227" s="1" t="s">
        <v>2465</v>
      </c>
      <c r="C1227" s="3" t="str">
        <f>TRIM(CLEAN(PROPER(tblClean[[#This Row],[Transaction Description]])))</f>
        <v>Own Test Too Imagine.</v>
      </c>
      <c r="D1227" s="1" t="s">
        <v>16</v>
      </c>
      <c r="E1227" s="3" t="str">
        <f>TRIM(CLEAN(PROPER(tblClean[[#This Row],[Category]])))</f>
        <v>Investment</v>
      </c>
      <c r="F1227" s="10" t="s">
        <v>1947</v>
      </c>
      <c r="G1227" s="1" t="s">
        <v>18</v>
      </c>
      <c r="H1227" s="15">
        <f>MONTH(tblClean[[#This Row],[Date]])</f>
        <v>1</v>
      </c>
      <c r="I1227" s="15">
        <f>YEAR(tblClean[[#This Row],[Date]])</f>
        <v>2024</v>
      </c>
    </row>
    <row r="1228" spans="1:9" x14ac:dyDescent="0.25">
      <c r="A1228" s="7">
        <v>45317</v>
      </c>
      <c r="B1228" s="2" t="s">
        <v>2463</v>
      </c>
      <c r="C1228" s="4" t="str">
        <f>TRIM(CLEAN(PROPER(tblClean[[#This Row],[Transaction Description]])))</f>
        <v>Compare System White Magazine After.</v>
      </c>
      <c r="D1228" s="2" t="s">
        <v>53</v>
      </c>
      <c r="E1228" s="3" t="str">
        <f>TRIM(CLEAN(PROPER(tblClean[[#This Row],[Category]])))</f>
        <v>Travel</v>
      </c>
      <c r="F1228" s="11" t="s">
        <v>2464</v>
      </c>
      <c r="G1228" s="2" t="s">
        <v>8</v>
      </c>
      <c r="H1228" s="15">
        <f>MONTH(tblClean[[#This Row],[Date]])</f>
        <v>1</v>
      </c>
      <c r="I1228" s="15">
        <f>YEAR(tblClean[[#This Row],[Date]])</f>
        <v>2024</v>
      </c>
    </row>
    <row r="1229" spans="1:9" x14ac:dyDescent="0.25">
      <c r="A1229" s="7">
        <v>45318</v>
      </c>
      <c r="B1229" s="2" t="s">
        <v>2466</v>
      </c>
      <c r="C1229" s="4" t="str">
        <f>TRIM(CLEAN(PROPER(tblClean[[#This Row],[Transaction Description]])))</f>
        <v>However Style.</v>
      </c>
      <c r="D1229" s="2" t="s">
        <v>6</v>
      </c>
      <c r="E1229" s="3" t="str">
        <f>TRIM(CLEAN(PROPER(tblClean[[#This Row],[Category]])))</f>
        <v>Food &amp; Drink</v>
      </c>
      <c r="F1229" s="11" t="s">
        <v>2467</v>
      </c>
      <c r="G1229" s="2" t="s">
        <v>8</v>
      </c>
      <c r="H1229" s="15">
        <f>MONTH(tblClean[[#This Row],[Date]])</f>
        <v>1</v>
      </c>
      <c r="I1229" s="15">
        <f>YEAR(tblClean[[#This Row],[Date]])</f>
        <v>2024</v>
      </c>
    </row>
    <row r="1230" spans="1:9" x14ac:dyDescent="0.25">
      <c r="A1230" s="6">
        <v>45319</v>
      </c>
      <c r="B1230" s="1" t="s">
        <v>2468</v>
      </c>
      <c r="C1230" s="3" t="str">
        <f>TRIM(CLEAN(PROPER(tblClean[[#This Row],[Transaction Description]])))</f>
        <v>Born Same Usually.</v>
      </c>
      <c r="D1230" s="1" t="s">
        <v>30</v>
      </c>
      <c r="E1230" s="3" t="str">
        <f>TRIM(CLEAN(PROPER(tblClean[[#This Row],[Category]])))</f>
        <v>Entertainment</v>
      </c>
      <c r="F1230" s="10" t="s">
        <v>2469</v>
      </c>
      <c r="G1230" s="1" t="s">
        <v>8</v>
      </c>
      <c r="H1230" s="15">
        <f>MONTH(tblClean[[#This Row],[Date]])</f>
        <v>1</v>
      </c>
      <c r="I1230" s="15">
        <f>YEAR(tblClean[[#This Row],[Date]])</f>
        <v>2024</v>
      </c>
    </row>
    <row r="1231" spans="1:9" x14ac:dyDescent="0.25">
      <c r="A1231" s="7">
        <v>45321</v>
      </c>
      <c r="B1231" s="2" t="s">
        <v>2470</v>
      </c>
      <c r="C1231" s="4" t="str">
        <f>TRIM(CLEAN(PROPER(tblClean[[#This Row],[Transaction Description]])))</f>
        <v>Wear Use Edge This Draw.</v>
      </c>
      <c r="D1231" s="2" t="s">
        <v>30</v>
      </c>
      <c r="E1231" s="3" t="str">
        <f>TRIM(CLEAN(PROPER(tblClean[[#This Row],[Category]])))</f>
        <v>Entertainment</v>
      </c>
      <c r="F1231" s="11" t="s">
        <v>2471</v>
      </c>
      <c r="G1231" s="2" t="s">
        <v>8</v>
      </c>
      <c r="H1231" s="15">
        <f>MONTH(tblClean[[#This Row],[Date]])</f>
        <v>1</v>
      </c>
      <c r="I1231" s="15">
        <f>YEAR(tblClean[[#This Row],[Date]])</f>
        <v>2024</v>
      </c>
    </row>
    <row r="1232" spans="1:9" x14ac:dyDescent="0.25">
      <c r="A1232" s="6">
        <v>45323</v>
      </c>
      <c r="B1232" s="1" t="s">
        <v>2472</v>
      </c>
      <c r="C1232" s="3" t="str">
        <f>TRIM(CLEAN(PROPER(tblClean[[#This Row],[Transaction Description]])))</f>
        <v>Forget Once Hope Security.</v>
      </c>
      <c r="D1232" s="1" t="s">
        <v>53</v>
      </c>
      <c r="E1232" s="3" t="str">
        <f>TRIM(CLEAN(PROPER(tblClean[[#This Row],[Category]])))</f>
        <v>Travel</v>
      </c>
      <c r="F1232" s="10" t="s">
        <v>2473</v>
      </c>
      <c r="G1232" s="1" t="s">
        <v>8</v>
      </c>
      <c r="H1232" s="15">
        <f>MONTH(tblClean[[#This Row],[Date]])</f>
        <v>2</v>
      </c>
      <c r="I1232" s="15">
        <f>YEAR(tblClean[[#This Row],[Date]])</f>
        <v>2024</v>
      </c>
    </row>
    <row r="1233" spans="1:9" x14ac:dyDescent="0.25">
      <c r="A1233" s="7">
        <v>45328</v>
      </c>
      <c r="B1233" s="2" t="s">
        <v>2474</v>
      </c>
      <c r="C1233" s="4" t="str">
        <f>TRIM(CLEAN(PROPER(tblClean[[#This Row],[Transaction Description]])))</f>
        <v>Design Blood Degree Ever.</v>
      </c>
      <c r="D1233" s="2" t="s">
        <v>27</v>
      </c>
      <c r="E1233" s="3" t="str">
        <f>TRIM(CLEAN(PROPER(tblClean[[#This Row],[Category]])))</f>
        <v>Other</v>
      </c>
      <c r="F1233" s="11" t="s">
        <v>2475</v>
      </c>
      <c r="G1233" s="2" t="s">
        <v>18</v>
      </c>
      <c r="H1233" s="15">
        <f>MONTH(tblClean[[#This Row],[Date]])</f>
        <v>2</v>
      </c>
      <c r="I1233" s="15">
        <f>YEAR(tblClean[[#This Row],[Date]])</f>
        <v>2024</v>
      </c>
    </row>
    <row r="1234" spans="1:9" x14ac:dyDescent="0.25">
      <c r="A1234" s="6">
        <v>45329</v>
      </c>
      <c r="B1234" s="1" t="s">
        <v>2476</v>
      </c>
      <c r="C1234" s="3" t="str">
        <f>TRIM(CLEAN(PROPER(tblClean[[#This Row],[Transaction Description]])))</f>
        <v>Television Argue Mouth.</v>
      </c>
      <c r="D1234" s="1" t="s">
        <v>35</v>
      </c>
      <c r="E1234" s="3" t="str">
        <f>TRIM(CLEAN(PROPER(tblClean[[#This Row],[Category]])))</f>
        <v>Health &amp; Fitness</v>
      </c>
      <c r="F1234" s="10" t="s">
        <v>2477</v>
      </c>
      <c r="G1234" s="1" t="s">
        <v>8</v>
      </c>
      <c r="H1234" s="15">
        <f>MONTH(tblClean[[#This Row],[Date]])</f>
        <v>2</v>
      </c>
      <c r="I1234" s="15">
        <f>YEAR(tblClean[[#This Row],[Date]])</f>
        <v>2024</v>
      </c>
    </row>
    <row r="1235" spans="1:9" x14ac:dyDescent="0.25">
      <c r="A1235" s="7">
        <v>45329</v>
      </c>
      <c r="B1235" s="2" t="s">
        <v>2478</v>
      </c>
      <c r="C1235" s="4" t="str">
        <f>TRIM(CLEAN(PROPER(tblClean[[#This Row],[Transaction Description]])))</f>
        <v>Nation Little East Everyone.</v>
      </c>
      <c r="D1235" s="2" t="s">
        <v>27</v>
      </c>
      <c r="E1235" s="3" t="str">
        <f>TRIM(CLEAN(PROPER(tblClean[[#This Row],[Category]])))</f>
        <v>Other</v>
      </c>
      <c r="F1235" s="11" t="s">
        <v>2479</v>
      </c>
      <c r="G1235" s="2" t="s">
        <v>18</v>
      </c>
      <c r="H1235" s="15">
        <f>MONTH(tblClean[[#This Row],[Date]])</f>
        <v>2</v>
      </c>
      <c r="I1235" s="15">
        <f>YEAR(tblClean[[#This Row],[Date]])</f>
        <v>2024</v>
      </c>
    </row>
    <row r="1236" spans="1:9" x14ac:dyDescent="0.25">
      <c r="A1236" s="6">
        <v>45332</v>
      </c>
      <c r="B1236" s="1" t="s">
        <v>2484</v>
      </c>
      <c r="C1236" s="3" t="str">
        <f>TRIM(CLEAN(PROPER(tblClean[[#This Row],[Transaction Description]])))</f>
        <v>Need Finally When.</v>
      </c>
      <c r="D1236" s="1" t="s">
        <v>30</v>
      </c>
      <c r="E1236" s="3" t="str">
        <f>TRIM(CLEAN(PROPER(tblClean[[#This Row],[Category]])))</f>
        <v>Entertainment</v>
      </c>
      <c r="F1236" s="10" t="s">
        <v>2485</v>
      </c>
      <c r="G1236" s="1" t="s">
        <v>8</v>
      </c>
      <c r="H1236" s="15">
        <f>MONTH(tblClean[[#This Row],[Date]])</f>
        <v>2</v>
      </c>
      <c r="I1236" s="15">
        <f>YEAR(tblClean[[#This Row],[Date]])</f>
        <v>2024</v>
      </c>
    </row>
    <row r="1237" spans="1:9" x14ac:dyDescent="0.25">
      <c r="A1237" s="7">
        <v>45332</v>
      </c>
      <c r="B1237" s="2" t="s">
        <v>2482</v>
      </c>
      <c r="C1237" s="4" t="str">
        <f>TRIM(CLEAN(PROPER(tblClean[[#This Row],[Transaction Description]])))</f>
        <v>Real Small.</v>
      </c>
      <c r="D1237" s="2" t="s">
        <v>35</v>
      </c>
      <c r="E1237" s="3" t="str">
        <f>TRIM(CLEAN(PROPER(tblClean[[#This Row],[Category]])))</f>
        <v>Health &amp; Fitness</v>
      </c>
      <c r="F1237" s="11" t="s">
        <v>2483</v>
      </c>
      <c r="G1237" s="2" t="s">
        <v>8</v>
      </c>
      <c r="H1237" s="15">
        <f>MONTH(tblClean[[#This Row],[Date]])</f>
        <v>2</v>
      </c>
      <c r="I1237" s="15">
        <f>YEAR(tblClean[[#This Row],[Date]])</f>
        <v>2024</v>
      </c>
    </row>
    <row r="1238" spans="1:9" x14ac:dyDescent="0.25">
      <c r="A1238" s="6">
        <v>45332</v>
      </c>
      <c r="B1238" s="1" t="s">
        <v>2480</v>
      </c>
      <c r="C1238" s="3" t="str">
        <f>TRIM(CLEAN(PROPER(tblClean[[#This Row],[Transaction Description]])))</f>
        <v>Little Happy Final Population.</v>
      </c>
      <c r="D1238" s="1" t="s">
        <v>38</v>
      </c>
      <c r="E1238" s="3" t="str">
        <f>TRIM(CLEAN(PROPER(tblClean[[#This Row],[Category]])))</f>
        <v>Salary</v>
      </c>
      <c r="F1238" s="10" t="s">
        <v>2481</v>
      </c>
      <c r="G1238" s="1" t="s">
        <v>8</v>
      </c>
      <c r="H1238" s="15">
        <f>MONTH(tblClean[[#This Row],[Date]])</f>
        <v>2</v>
      </c>
      <c r="I1238" s="15">
        <f>YEAR(tblClean[[#This Row],[Date]])</f>
        <v>2024</v>
      </c>
    </row>
    <row r="1239" spans="1:9" x14ac:dyDescent="0.25">
      <c r="A1239" s="6">
        <v>45336</v>
      </c>
      <c r="B1239" s="1" t="s">
        <v>2488</v>
      </c>
      <c r="C1239" s="3" t="str">
        <f>TRIM(CLEAN(PROPER(tblClean[[#This Row],[Transaction Description]])))</f>
        <v>Until Truth Feeling View.</v>
      </c>
      <c r="D1239" s="1" t="s">
        <v>13</v>
      </c>
      <c r="E1239" s="3" t="str">
        <f>TRIM(CLEAN(PROPER(tblClean[[#This Row],[Category]])))</f>
        <v>Rent</v>
      </c>
      <c r="F1239" s="10" t="s">
        <v>2489</v>
      </c>
      <c r="G1239" s="1" t="s">
        <v>8</v>
      </c>
      <c r="H1239" s="15">
        <f>MONTH(tblClean[[#This Row],[Date]])</f>
        <v>2</v>
      </c>
      <c r="I1239" s="15">
        <f>YEAR(tblClean[[#This Row],[Date]])</f>
        <v>2024</v>
      </c>
    </row>
    <row r="1240" spans="1:9" x14ac:dyDescent="0.25">
      <c r="A1240" s="7">
        <v>45336</v>
      </c>
      <c r="B1240" s="2" t="s">
        <v>2486</v>
      </c>
      <c r="C1240" s="4" t="str">
        <f>TRIM(CLEAN(PROPER(tblClean[[#This Row],[Transaction Description]])))</f>
        <v>Movement Door Kind.</v>
      </c>
      <c r="D1240" s="2" t="s">
        <v>53</v>
      </c>
      <c r="E1240" s="3" t="str">
        <f>TRIM(CLEAN(PROPER(tblClean[[#This Row],[Category]])))</f>
        <v>Travel</v>
      </c>
      <c r="F1240" s="11" t="s">
        <v>2487</v>
      </c>
      <c r="G1240" s="2" t="s">
        <v>8</v>
      </c>
      <c r="H1240" s="15">
        <f>MONTH(tblClean[[#This Row],[Date]])</f>
        <v>2</v>
      </c>
      <c r="I1240" s="15">
        <f>YEAR(tblClean[[#This Row],[Date]])</f>
        <v>2024</v>
      </c>
    </row>
    <row r="1241" spans="1:9" x14ac:dyDescent="0.25">
      <c r="A1241" s="7">
        <v>45337</v>
      </c>
      <c r="B1241" s="2" t="s">
        <v>2490</v>
      </c>
      <c r="C1241" s="4" t="str">
        <f>TRIM(CLEAN(PROPER(tblClean[[#This Row],[Transaction Description]])))</f>
        <v>Decision Three Trouble.</v>
      </c>
      <c r="D1241" s="2" t="s">
        <v>16</v>
      </c>
      <c r="E1241" s="3" t="str">
        <f>TRIM(CLEAN(PROPER(tblClean[[#This Row],[Category]])))</f>
        <v>Investment</v>
      </c>
      <c r="F1241" s="11" t="s">
        <v>2491</v>
      </c>
      <c r="G1241" s="2" t="s">
        <v>18</v>
      </c>
      <c r="H1241" s="15">
        <f>MONTH(tblClean[[#This Row],[Date]])</f>
        <v>2</v>
      </c>
      <c r="I1241" s="15">
        <f>YEAR(tblClean[[#This Row],[Date]])</f>
        <v>2024</v>
      </c>
    </row>
    <row r="1242" spans="1:9" x14ac:dyDescent="0.25">
      <c r="A1242" s="6">
        <v>45338</v>
      </c>
      <c r="B1242" s="1" t="s">
        <v>2492</v>
      </c>
      <c r="C1242" s="3" t="str">
        <f>TRIM(CLEAN(PROPER(tblClean[[#This Row],[Transaction Description]])))</f>
        <v>Smile Ever Bag Single.</v>
      </c>
      <c r="D1242" s="1" t="s">
        <v>27</v>
      </c>
      <c r="E1242" s="3" t="str">
        <f>TRIM(CLEAN(PROPER(tblClean[[#This Row],[Category]])))</f>
        <v>Other</v>
      </c>
      <c r="F1242" s="10" t="s">
        <v>2493</v>
      </c>
      <c r="G1242" s="1" t="s">
        <v>18</v>
      </c>
      <c r="H1242" s="15">
        <f>MONTH(tblClean[[#This Row],[Date]])</f>
        <v>2</v>
      </c>
      <c r="I1242" s="15">
        <f>YEAR(tblClean[[#This Row],[Date]])</f>
        <v>2024</v>
      </c>
    </row>
    <row r="1243" spans="1:9" x14ac:dyDescent="0.25">
      <c r="A1243" s="7">
        <v>45339</v>
      </c>
      <c r="B1243" s="2" t="s">
        <v>2494</v>
      </c>
      <c r="C1243" s="4" t="str">
        <f>TRIM(CLEAN(PROPER(tblClean[[#This Row],[Transaction Description]])))</f>
        <v>Say Unit Four Institution.</v>
      </c>
      <c r="D1243" s="2" t="s">
        <v>27</v>
      </c>
      <c r="E1243" s="3" t="str">
        <f>TRIM(CLEAN(PROPER(tblClean[[#This Row],[Category]])))</f>
        <v>Other</v>
      </c>
      <c r="F1243" s="11" t="s">
        <v>2495</v>
      </c>
      <c r="G1243" s="2" t="s">
        <v>18</v>
      </c>
      <c r="H1243" s="15">
        <f>MONTH(tblClean[[#This Row],[Date]])</f>
        <v>2</v>
      </c>
      <c r="I1243" s="15">
        <f>YEAR(tblClean[[#This Row],[Date]])</f>
        <v>2024</v>
      </c>
    </row>
    <row r="1244" spans="1:9" x14ac:dyDescent="0.25">
      <c r="A1244" s="6">
        <v>45341</v>
      </c>
      <c r="B1244" s="1" t="s">
        <v>2496</v>
      </c>
      <c r="C1244" s="3" t="str">
        <f>TRIM(CLEAN(PROPER(tblClean[[#This Row],[Transaction Description]])))</f>
        <v>Recognize Media Goal.</v>
      </c>
      <c r="D1244" s="1" t="s">
        <v>10</v>
      </c>
      <c r="E1244" s="3" t="str">
        <f>TRIM(CLEAN(PROPER(tblClean[[#This Row],[Category]])))</f>
        <v>Utilities</v>
      </c>
      <c r="F1244" s="10" t="s">
        <v>2497</v>
      </c>
      <c r="G1244" s="1" t="s">
        <v>8</v>
      </c>
      <c r="H1244" s="15">
        <f>MONTH(tblClean[[#This Row],[Date]])</f>
        <v>2</v>
      </c>
      <c r="I1244" s="15">
        <f>YEAR(tblClean[[#This Row],[Date]])</f>
        <v>2024</v>
      </c>
    </row>
    <row r="1245" spans="1:9" x14ac:dyDescent="0.25">
      <c r="A1245" s="7">
        <v>45343</v>
      </c>
      <c r="B1245" s="2" t="s">
        <v>2498</v>
      </c>
      <c r="C1245" s="4" t="str">
        <f>TRIM(CLEAN(PROPER(tblClean[[#This Row],[Transaction Description]])))</f>
        <v>Law Agree Appear Political.</v>
      </c>
      <c r="D1245" s="2" t="s">
        <v>6</v>
      </c>
      <c r="E1245" s="3" t="str">
        <f>TRIM(CLEAN(PROPER(tblClean[[#This Row],[Category]])))</f>
        <v>Food &amp; Drink</v>
      </c>
      <c r="F1245" s="11" t="s">
        <v>2499</v>
      </c>
      <c r="G1245" s="2" t="s">
        <v>8</v>
      </c>
      <c r="H1245" s="15">
        <f>MONTH(tblClean[[#This Row],[Date]])</f>
        <v>2</v>
      </c>
      <c r="I1245" s="15">
        <f>YEAR(tblClean[[#This Row],[Date]])</f>
        <v>2024</v>
      </c>
    </row>
    <row r="1246" spans="1:9" x14ac:dyDescent="0.25">
      <c r="A1246" s="7">
        <v>45343</v>
      </c>
      <c r="B1246" s="2" t="s">
        <v>2502</v>
      </c>
      <c r="C1246" s="4" t="str">
        <f>TRIM(CLEAN(PROPER(tblClean[[#This Row],[Transaction Description]])))</f>
        <v>Book Economic.</v>
      </c>
      <c r="D1246" s="2" t="s">
        <v>35</v>
      </c>
      <c r="E1246" s="3" t="str">
        <f>TRIM(CLEAN(PROPER(tblClean[[#This Row],[Category]])))</f>
        <v>Health &amp; Fitness</v>
      </c>
      <c r="F1246" s="11" t="s">
        <v>2503</v>
      </c>
      <c r="G1246" s="2" t="s">
        <v>8</v>
      </c>
      <c r="H1246" s="15">
        <f>MONTH(tblClean[[#This Row],[Date]])</f>
        <v>2</v>
      </c>
      <c r="I1246" s="15">
        <f>YEAR(tblClean[[#This Row],[Date]])</f>
        <v>2024</v>
      </c>
    </row>
    <row r="1247" spans="1:9" x14ac:dyDescent="0.25">
      <c r="A1247" s="6">
        <v>45343</v>
      </c>
      <c r="B1247" s="1" t="s">
        <v>2500</v>
      </c>
      <c r="C1247" s="3" t="str">
        <f>TRIM(CLEAN(PROPER(tblClean[[#This Row],[Transaction Description]])))</f>
        <v>Able Customer Figure.</v>
      </c>
      <c r="D1247" s="1" t="s">
        <v>53</v>
      </c>
      <c r="E1247" s="3" t="str">
        <f>TRIM(CLEAN(PROPER(tblClean[[#This Row],[Category]])))</f>
        <v>Travel</v>
      </c>
      <c r="F1247" s="10" t="s">
        <v>2501</v>
      </c>
      <c r="G1247" s="1" t="s">
        <v>8</v>
      </c>
      <c r="H1247" s="15">
        <f>MONTH(tblClean[[#This Row],[Date]])</f>
        <v>2</v>
      </c>
      <c r="I1247" s="15">
        <f>YEAR(tblClean[[#This Row],[Date]])</f>
        <v>2024</v>
      </c>
    </row>
    <row r="1248" spans="1:9" x14ac:dyDescent="0.25">
      <c r="A1248" s="6">
        <v>45344</v>
      </c>
      <c r="B1248" s="1" t="s">
        <v>2504</v>
      </c>
      <c r="C1248" s="3" t="str">
        <f>TRIM(CLEAN(PROPER(tblClean[[#This Row],[Transaction Description]])))</f>
        <v>Rate Society Floor Long Same.</v>
      </c>
      <c r="D1248" s="1" t="s">
        <v>30</v>
      </c>
      <c r="E1248" s="3" t="str">
        <f>TRIM(CLEAN(PROPER(tblClean[[#This Row],[Category]])))</f>
        <v>Entertainment</v>
      </c>
      <c r="F1248" s="10" t="s">
        <v>2505</v>
      </c>
      <c r="G1248" s="1" t="s">
        <v>8</v>
      </c>
      <c r="H1248" s="15">
        <f>MONTH(tblClean[[#This Row],[Date]])</f>
        <v>2</v>
      </c>
      <c r="I1248" s="15">
        <f>YEAR(tblClean[[#This Row],[Date]])</f>
        <v>2024</v>
      </c>
    </row>
    <row r="1249" spans="1:9" x14ac:dyDescent="0.25">
      <c r="A1249" s="6">
        <v>45345</v>
      </c>
      <c r="B1249" s="1" t="s">
        <v>2508</v>
      </c>
      <c r="C1249" s="3" t="str">
        <f>TRIM(CLEAN(PROPER(tblClean[[#This Row],[Transaction Description]])))</f>
        <v>Increase Consider.</v>
      </c>
      <c r="D1249" s="1" t="s">
        <v>13</v>
      </c>
      <c r="E1249" s="3" t="str">
        <f>TRIM(CLEAN(PROPER(tblClean[[#This Row],[Category]])))</f>
        <v>Rent</v>
      </c>
      <c r="F1249" s="10" t="s">
        <v>2509</v>
      </c>
      <c r="G1249" s="1" t="s">
        <v>8</v>
      </c>
      <c r="H1249" s="15">
        <f>MONTH(tblClean[[#This Row],[Date]])</f>
        <v>2</v>
      </c>
      <c r="I1249" s="15">
        <f>YEAR(tblClean[[#This Row],[Date]])</f>
        <v>2024</v>
      </c>
    </row>
    <row r="1250" spans="1:9" x14ac:dyDescent="0.25">
      <c r="A1250" s="7">
        <v>45345</v>
      </c>
      <c r="B1250" s="2" t="s">
        <v>2506</v>
      </c>
      <c r="C1250" s="4" t="str">
        <f>TRIM(CLEAN(PROPER(tblClean[[#This Row],[Transaction Description]])))</f>
        <v>Reach Step Son.</v>
      </c>
      <c r="D1250" s="2" t="s">
        <v>10</v>
      </c>
      <c r="E1250" s="3" t="str">
        <f>TRIM(CLEAN(PROPER(tblClean[[#This Row],[Category]])))</f>
        <v>Utilities</v>
      </c>
      <c r="F1250" s="11" t="s">
        <v>2507</v>
      </c>
      <c r="G1250" s="2" t="s">
        <v>8</v>
      </c>
      <c r="H1250" s="15">
        <f>MONTH(tblClean[[#This Row],[Date]])</f>
        <v>2</v>
      </c>
      <c r="I1250" s="15">
        <f>YEAR(tblClean[[#This Row],[Date]])</f>
        <v>2024</v>
      </c>
    </row>
    <row r="1251" spans="1:9" x14ac:dyDescent="0.25">
      <c r="A1251" s="7">
        <v>45346</v>
      </c>
      <c r="B1251" s="2" t="s">
        <v>2510</v>
      </c>
      <c r="C1251" s="4" t="str">
        <f>TRIM(CLEAN(PROPER(tblClean[[#This Row],[Transaction Description]])))</f>
        <v>Difference Way Type Positive Phone.</v>
      </c>
      <c r="D1251" s="2" t="s">
        <v>35</v>
      </c>
      <c r="E1251" s="3" t="str">
        <f>TRIM(CLEAN(PROPER(tblClean[[#This Row],[Category]])))</f>
        <v>Health &amp; Fitness</v>
      </c>
      <c r="F1251" s="11" t="s">
        <v>2511</v>
      </c>
      <c r="G1251" s="2" t="s">
        <v>8</v>
      </c>
      <c r="H1251" s="15">
        <f>MONTH(tblClean[[#This Row],[Date]])</f>
        <v>2</v>
      </c>
      <c r="I1251" s="15">
        <f>YEAR(tblClean[[#This Row],[Date]])</f>
        <v>2024</v>
      </c>
    </row>
    <row r="1252" spans="1:9" x14ac:dyDescent="0.25">
      <c r="A1252" s="6">
        <v>45346</v>
      </c>
      <c r="B1252" s="1" t="s">
        <v>2512</v>
      </c>
      <c r="C1252" s="3" t="str">
        <f>TRIM(CLEAN(PROPER(tblClean[[#This Row],[Transaction Description]])))</f>
        <v>Cup Red Collection Husband.</v>
      </c>
      <c r="D1252" s="1" t="s">
        <v>38</v>
      </c>
      <c r="E1252" s="3" t="str">
        <f>TRIM(CLEAN(PROPER(tblClean[[#This Row],[Category]])))</f>
        <v>Salary</v>
      </c>
      <c r="F1252" s="10" t="s">
        <v>2513</v>
      </c>
      <c r="G1252" s="1" t="s">
        <v>8</v>
      </c>
      <c r="H1252" s="15">
        <f>MONTH(tblClean[[#This Row],[Date]])</f>
        <v>2</v>
      </c>
      <c r="I1252" s="15">
        <f>YEAR(tblClean[[#This Row],[Date]])</f>
        <v>2024</v>
      </c>
    </row>
    <row r="1253" spans="1:9" x14ac:dyDescent="0.25">
      <c r="A1253" s="7">
        <v>45347</v>
      </c>
      <c r="B1253" s="2" t="s">
        <v>2514</v>
      </c>
      <c r="C1253" s="4" t="str">
        <f>TRIM(CLEAN(PROPER(tblClean[[#This Row],[Transaction Description]])))</f>
        <v>Employee Become Happy Water Bring.</v>
      </c>
      <c r="D1253" s="2" t="s">
        <v>6</v>
      </c>
      <c r="E1253" s="3" t="str">
        <f>TRIM(CLEAN(PROPER(tblClean[[#This Row],[Category]])))</f>
        <v>Food &amp; Drink</v>
      </c>
      <c r="F1253" s="11" t="s">
        <v>2515</v>
      </c>
      <c r="G1253" s="2" t="s">
        <v>8</v>
      </c>
      <c r="H1253" s="15">
        <f>MONTH(tblClean[[#This Row],[Date]])</f>
        <v>2</v>
      </c>
      <c r="I1253" s="15">
        <f>YEAR(tblClean[[#This Row],[Date]])</f>
        <v>2024</v>
      </c>
    </row>
    <row r="1254" spans="1:9" x14ac:dyDescent="0.25">
      <c r="A1254" s="6">
        <v>45349</v>
      </c>
      <c r="B1254" s="1" t="s">
        <v>2516</v>
      </c>
      <c r="C1254" s="3" t="str">
        <f>TRIM(CLEAN(PROPER(tblClean[[#This Row],[Transaction Description]])))</f>
        <v>Significant Up Still Management.</v>
      </c>
      <c r="D1254" s="1" t="s">
        <v>30</v>
      </c>
      <c r="E1254" s="3" t="str">
        <f>TRIM(CLEAN(PROPER(tblClean[[#This Row],[Category]])))</f>
        <v>Entertainment</v>
      </c>
      <c r="F1254" s="10" t="s">
        <v>2517</v>
      </c>
      <c r="G1254" s="1" t="s">
        <v>8</v>
      </c>
      <c r="H1254" s="15">
        <f>MONTH(tblClean[[#This Row],[Date]])</f>
        <v>2</v>
      </c>
      <c r="I1254" s="15">
        <f>YEAR(tblClean[[#This Row],[Date]])</f>
        <v>2024</v>
      </c>
    </row>
    <row r="1255" spans="1:9" x14ac:dyDescent="0.25">
      <c r="A1255" s="7">
        <v>45349</v>
      </c>
      <c r="B1255" s="2" t="s">
        <v>2518</v>
      </c>
      <c r="C1255" s="4" t="str">
        <f>TRIM(CLEAN(PROPER(tblClean[[#This Row],[Transaction Description]])))</f>
        <v>Course Technology Site.</v>
      </c>
      <c r="D1255" s="2" t="s">
        <v>30</v>
      </c>
      <c r="E1255" s="3" t="str">
        <f>TRIM(CLEAN(PROPER(tblClean[[#This Row],[Category]])))</f>
        <v>Entertainment</v>
      </c>
      <c r="F1255" s="11" t="s">
        <v>2519</v>
      </c>
      <c r="G1255" s="2" t="s">
        <v>8</v>
      </c>
      <c r="H1255" s="15">
        <f>MONTH(tblClean[[#This Row],[Date]])</f>
        <v>2</v>
      </c>
      <c r="I1255" s="15">
        <f>YEAR(tblClean[[#This Row],[Date]])</f>
        <v>2024</v>
      </c>
    </row>
    <row r="1256" spans="1:9" x14ac:dyDescent="0.25">
      <c r="A1256" s="6">
        <v>45349</v>
      </c>
      <c r="B1256" s="1" t="s">
        <v>2520</v>
      </c>
      <c r="C1256" s="3" t="str">
        <f>TRIM(CLEAN(PROPER(tblClean[[#This Row],[Transaction Description]])))</f>
        <v>High Issue Deal Democratic.</v>
      </c>
      <c r="D1256" s="1" t="s">
        <v>35</v>
      </c>
      <c r="E1256" s="3" t="str">
        <f>TRIM(CLEAN(PROPER(tblClean[[#This Row],[Category]])))</f>
        <v>Health &amp; Fitness</v>
      </c>
      <c r="F1256" s="10" t="s">
        <v>2521</v>
      </c>
      <c r="G1256" s="1" t="s">
        <v>8</v>
      </c>
      <c r="H1256" s="15">
        <f>MONTH(tblClean[[#This Row],[Date]])</f>
        <v>2</v>
      </c>
      <c r="I1256" s="15">
        <f>YEAR(tblClean[[#This Row],[Date]])</f>
        <v>2024</v>
      </c>
    </row>
    <row r="1257" spans="1:9" x14ac:dyDescent="0.25">
      <c r="A1257" s="7">
        <v>45350</v>
      </c>
      <c r="B1257" s="2" t="s">
        <v>2522</v>
      </c>
      <c r="C1257" s="4" t="str">
        <f>TRIM(CLEAN(PROPER(tblClean[[#This Row],[Transaction Description]])))</f>
        <v>Industry Impact Certainly.</v>
      </c>
      <c r="D1257" s="2" t="s">
        <v>13</v>
      </c>
      <c r="E1257" s="3" t="str">
        <f>TRIM(CLEAN(PROPER(tblClean[[#This Row],[Category]])))</f>
        <v>Rent</v>
      </c>
      <c r="F1257" s="11" t="s">
        <v>2523</v>
      </c>
      <c r="G1257" s="2" t="s">
        <v>8</v>
      </c>
      <c r="H1257" s="15">
        <f>MONTH(tblClean[[#This Row],[Date]])</f>
        <v>2</v>
      </c>
      <c r="I1257" s="15">
        <f>YEAR(tblClean[[#This Row],[Date]])</f>
        <v>2024</v>
      </c>
    </row>
    <row r="1258" spans="1:9" x14ac:dyDescent="0.25">
      <c r="A1258" s="6">
        <v>45351</v>
      </c>
      <c r="B1258" s="1" t="s">
        <v>2524</v>
      </c>
      <c r="C1258" s="3" t="str">
        <f>TRIM(CLEAN(PROPER(tblClean[[#This Row],[Transaction Description]])))</f>
        <v>Dog Late Eat.</v>
      </c>
      <c r="D1258" s="1" t="s">
        <v>53</v>
      </c>
      <c r="E1258" s="3" t="str">
        <f>TRIM(CLEAN(PROPER(tblClean[[#This Row],[Category]])))</f>
        <v>Travel</v>
      </c>
      <c r="F1258" s="10" t="s">
        <v>2525</v>
      </c>
      <c r="G1258" s="1" t="s">
        <v>8</v>
      </c>
      <c r="H1258" s="15">
        <f>MONTH(tblClean[[#This Row],[Date]])</f>
        <v>2</v>
      </c>
      <c r="I1258" s="15">
        <f>YEAR(tblClean[[#This Row],[Date]])</f>
        <v>2024</v>
      </c>
    </row>
    <row r="1259" spans="1:9" x14ac:dyDescent="0.25">
      <c r="A1259" s="7">
        <v>45353</v>
      </c>
      <c r="B1259" s="2" t="s">
        <v>2526</v>
      </c>
      <c r="C1259" s="4" t="str">
        <f>TRIM(CLEAN(PROPER(tblClean[[#This Row],[Transaction Description]])))</f>
        <v>Beat Light The Window.</v>
      </c>
      <c r="D1259" s="2" t="s">
        <v>35</v>
      </c>
      <c r="E1259" s="3" t="str">
        <f>TRIM(CLEAN(PROPER(tblClean[[#This Row],[Category]])))</f>
        <v>Health &amp; Fitness</v>
      </c>
      <c r="F1259" s="11" t="s">
        <v>2527</v>
      </c>
      <c r="G1259" s="2" t="s">
        <v>8</v>
      </c>
      <c r="H1259" s="15">
        <f>MONTH(tblClean[[#This Row],[Date]])</f>
        <v>3</v>
      </c>
      <c r="I1259" s="15">
        <f>YEAR(tblClean[[#This Row],[Date]])</f>
        <v>2024</v>
      </c>
    </row>
    <row r="1260" spans="1:9" x14ac:dyDescent="0.25">
      <c r="A1260" s="6">
        <v>45354</v>
      </c>
      <c r="B1260" s="1" t="s">
        <v>2528</v>
      </c>
      <c r="C1260" s="3" t="str">
        <f>TRIM(CLEAN(PROPER(tblClean[[#This Row],[Transaction Description]])))</f>
        <v>Require Remain Save.</v>
      </c>
      <c r="D1260" s="1" t="s">
        <v>38</v>
      </c>
      <c r="E1260" s="3" t="str">
        <f>TRIM(CLEAN(PROPER(tblClean[[#This Row],[Category]])))</f>
        <v>Salary</v>
      </c>
      <c r="F1260" s="10" t="s">
        <v>2529</v>
      </c>
      <c r="G1260" s="1" t="s">
        <v>8</v>
      </c>
      <c r="H1260" s="15">
        <f>MONTH(tblClean[[#This Row],[Date]])</f>
        <v>3</v>
      </c>
      <c r="I1260" s="15">
        <f>YEAR(tblClean[[#This Row],[Date]])</f>
        <v>2024</v>
      </c>
    </row>
    <row r="1261" spans="1:9" x14ac:dyDescent="0.25">
      <c r="A1261" s="7">
        <v>45356</v>
      </c>
      <c r="B1261" s="2" t="s">
        <v>2530</v>
      </c>
      <c r="C1261" s="4" t="str">
        <f>TRIM(CLEAN(PROPER(tblClean[[#This Row],[Transaction Description]])))</f>
        <v>Believe Arrive.</v>
      </c>
      <c r="D1261" s="2" t="s">
        <v>30</v>
      </c>
      <c r="E1261" s="3" t="str">
        <f>TRIM(CLEAN(PROPER(tblClean[[#This Row],[Category]])))</f>
        <v>Entertainment</v>
      </c>
      <c r="F1261" s="11" t="s">
        <v>2531</v>
      </c>
      <c r="G1261" s="2" t="s">
        <v>8</v>
      </c>
      <c r="H1261" s="15">
        <f>MONTH(tblClean[[#This Row],[Date]])</f>
        <v>3</v>
      </c>
      <c r="I1261" s="15">
        <f>YEAR(tblClean[[#This Row],[Date]])</f>
        <v>2024</v>
      </c>
    </row>
    <row r="1262" spans="1:9" x14ac:dyDescent="0.25">
      <c r="A1262" s="6">
        <v>45356</v>
      </c>
      <c r="B1262" s="1" t="s">
        <v>2532</v>
      </c>
      <c r="C1262" s="3" t="str">
        <f>TRIM(CLEAN(PROPER(tblClean[[#This Row],[Transaction Description]])))</f>
        <v>Likely Great Paper.</v>
      </c>
      <c r="D1262" s="1" t="s">
        <v>16</v>
      </c>
      <c r="E1262" s="3" t="str">
        <f>TRIM(CLEAN(PROPER(tblClean[[#This Row],[Category]])))</f>
        <v>Investment</v>
      </c>
      <c r="F1262" s="10" t="s">
        <v>2533</v>
      </c>
      <c r="G1262" s="1" t="s">
        <v>18</v>
      </c>
      <c r="H1262" s="15">
        <f>MONTH(tblClean[[#This Row],[Date]])</f>
        <v>3</v>
      </c>
      <c r="I1262" s="15">
        <f>YEAR(tblClean[[#This Row],[Date]])</f>
        <v>2024</v>
      </c>
    </row>
    <row r="1263" spans="1:9" x14ac:dyDescent="0.25">
      <c r="A1263" s="6">
        <v>45357</v>
      </c>
      <c r="B1263" s="1" t="s">
        <v>2536</v>
      </c>
      <c r="C1263" s="3" t="str">
        <f>TRIM(CLEAN(PROPER(tblClean[[#This Row],[Transaction Description]])))</f>
        <v>Provide Car Throughout American.</v>
      </c>
      <c r="D1263" s="1" t="s">
        <v>30</v>
      </c>
      <c r="E1263" s="3" t="str">
        <f>TRIM(CLEAN(PROPER(tblClean[[#This Row],[Category]])))</f>
        <v>Entertainment</v>
      </c>
      <c r="F1263" s="10" t="s">
        <v>2537</v>
      </c>
      <c r="G1263" s="1" t="s">
        <v>8</v>
      </c>
      <c r="H1263" s="15">
        <f>MONTH(tblClean[[#This Row],[Date]])</f>
        <v>3</v>
      </c>
      <c r="I1263" s="15">
        <f>YEAR(tblClean[[#This Row],[Date]])</f>
        <v>2024</v>
      </c>
    </row>
    <row r="1264" spans="1:9" x14ac:dyDescent="0.25">
      <c r="A1264" s="7">
        <v>45357</v>
      </c>
      <c r="B1264" s="2" t="s">
        <v>2534</v>
      </c>
      <c r="C1264" s="4" t="str">
        <f>TRIM(CLEAN(PROPER(tblClean[[#This Row],[Transaction Description]])))</f>
        <v>Effect People.</v>
      </c>
      <c r="D1264" s="2" t="s">
        <v>6</v>
      </c>
      <c r="E1264" s="3" t="str">
        <f>TRIM(CLEAN(PROPER(tblClean[[#This Row],[Category]])))</f>
        <v>Food &amp; Drink</v>
      </c>
      <c r="F1264" s="11" t="s">
        <v>2535</v>
      </c>
      <c r="G1264" s="2" t="s">
        <v>8</v>
      </c>
      <c r="H1264" s="15">
        <f>MONTH(tblClean[[#This Row],[Date]])</f>
        <v>3</v>
      </c>
      <c r="I1264" s="15">
        <f>YEAR(tblClean[[#This Row],[Date]])</f>
        <v>2024</v>
      </c>
    </row>
    <row r="1265" spans="1:9" x14ac:dyDescent="0.25">
      <c r="A1265" s="7">
        <v>45357</v>
      </c>
      <c r="B1265" s="2" t="s">
        <v>2538</v>
      </c>
      <c r="C1265" s="4" t="str">
        <f>TRIM(CLEAN(PROPER(tblClean[[#This Row],[Transaction Description]])))</f>
        <v>College Manage Fund.</v>
      </c>
      <c r="D1265" s="2" t="s">
        <v>13</v>
      </c>
      <c r="E1265" s="3" t="str">
        <f>TRIM(CLEAN(PROPER(tblClean[[#This Row],[Category]])))</f>
        <v>Rent</v>
      </c>
      <c r="F1265" s="11" t="s">
        <v>2539</v>
      </c>
      <c r="G1265" s="2" t="s">
        <v>8</v>
      </c>
      <c r="H1265" s="15">
        <f>MONTH(tblClean[[#This Row],[Date]])</f>
        <v>3</v>
      </c>
      <c r="I1265" s="15">
        <f>YEAR(tblClean[[#This Row],[Date]])</f>
        <v>2024</v>
      </c>
    </row>
    <row r="1266" spans="1:9" x14ac:dyDescent="0.25">
      <c r="A1266" s="6">
        <v>45358</v>
      </c>
      <c r="B1266" s="1" t="s">
        <v>2540</v>
      </c>
      <c r="C1266" s="3" t="str">
        <f>TRIM(CLEAN(PROPER(tblClean[[#This Row],[Transaction Description]])))</f>
        <v>Bed Report Item.</v>
      </c>
      <c r="D1266" s="1" t="s">
        <v>22</v>
      </c>
      <c r="E1266" s="3" t="str">
        <f>TRIM(CLEAN(PROPER(tblClean[[#This Row],[Category]])))</f>
        <v>Shopping</v>
      </c>
      <c r="F1266" s="10" t="s">
        <v>2541</v>
      </c>
      <c r="G1266" s="1" t="s">
        <v>8</v>
      </c>
      <c r="H1266" s="15">
        <f>MONTH(tblClean[[#This Row],[Date]])</f>
        <v>3</v>
      </c>
      <c r="I1266" s="15">
        <f>YEAR(tblClean[[#This Row],[Date]])</f>
        <v>2024</v>
      </c>
    </row>
    <row r="1267" spans="1:9" x14ac:dyDescent="0.25">
      <c r="A1267" s="7">
        <v>45358</v>
      </c>
      <c r="B1267" s="2" t="s">
        <v>2542</v>
      </c>
      <c r="C1267" s="4" t="str">
        <f>TRIM(CLEAN(PROPER(tblClean[[#This Row],[Transaction Description]])))</f>
        <v>Finish Without.</v>
      </c>
      <c r="D1267" s="2" t="s">
        <v>10</v>
      </c>
      <c r="E1267" s="3" t="str">
        <f>TRIM(CLEAN(PROPER(tblClean[[#This Row],[Category]])))</f>
        <v>Utilities</v>
      </c>
      <c r="F1267" s="11" t="s">
        <v>2543</v>
      </c>
      <c r="G1267" s="2" t="s">
        <v>8</v>
      </c>
      <c r="H1267" s="15">
        <f>MONTH(tblClean[[#This Row],[Date]])</f>
        <v>3</v>
      </c>
      <c r="I1267" s="15">
        <f>YEAR(tblClean[[#This Row],[Date]])</f>
        <v>2024</v>
      </c>
    </row>
    <row r="1268" spans="1:9" x14ac:dyDescent="0.25">
      <c r="A1268" s="6">
        <v>45359</v>
      </c>
      <c r="B1268" s="1" t="s">
        <v>2544</v>
      </c>
      <c r="C1268" s="3" t="str">
        <f>TRIM(CLEAN(PROPER(tblClean[[#This Row],[Transaction Description]])))</f>
        <v>Security Unit Executive.</v>
      </c>
      <c r="D1268" s="1" t="s">
        <v>6</v>
      </c>
      <c r="E1268" s="3" t="str">
        <f>TRIM(CLEAN(PROPER(tblClean[[#This Row],[Category]])))</f>
        <v>Food &amp; Drink</v>
      </c>
      <c r="F1268" s="10" t="s">
        <v>2545</v>
      </c>
      <c r="G1268" s="1" t="s">
        <v>8</v>
      </c>
      <c r="H1268" s="15">
        <f>MONTH(tblClean[[#This Row],[Date]])</f>
        <v>3</v>
      </c>
      <c r="I1268" s="15">
        <f>YEAR(tblClean[[#This Row],[Date]])</f>
        <v>2024</v>
      </c>
    </row>
    <row r="1269" spans="1:9" x14ac:dyDescent="0.25">
      <c r="A1269" s="7">
        <v>45362</v>
      </c>
      <c r="B1269" s="2" t="s">
        <v>2546</v>
      </c>
      <c r="C1269" s="4" t="str">
        <f>TRIM(CLEAN(PROPER(tblClean[[#This Row],[Transaction Description]])))</f>
        <v>Stop Unit Might Job Close.</v>
      </c>
      <c r="D1269" s="2" t="s">
        <v>27</v>
      </c>
      <c r="E1269" s="3" t="str">
        <f>TRIM(CLEAN(PROPER(tblClean[[#This Row],[Category]])))</f>
        <v>Other</v>
      </c>
      <c r="F1269" s="11" t="s">
        <v>2547</v>
      </c>
      <c r="G1269" s="2" t="s">
        <v>18</v>
      </c>
      <c r="H1269" s="15">
        <f>MONTH(tblClean[[#This Row],[Date]])</f>
        <v>3</v>
      </c>
      <c r="I1269" s="15">
        <f>YEAR(tblClean[[#This Row],[Date]])</f>
        <v>2024</v>
      </c>
    </row>
    <row r="1270" spans="1:9" x14ac:dyDescent="0.25">
      <c r="A1270" s="6">
        <v>45364</v>
      </c>
      <c r="B1270" s="1" t="s">
        <v>2548</v>
      </c>
      <c r="C1270" s="3" t="str">
        <f>TRIM(CLEAN(PROPER(tblClean[[#This Row],[Transaction Description]])))</f>
        <v>New Type Pm.</v>
      </c>
      <c r="D1270" s="1" t="s">
        <v>30</v>
      </c>
      <c r="E1270" s="3" t="str">
        <f>TRIM(CLEAN(PROPER(tblClean[[#This Row],[Category]])))</f>
        <v>Entertainment</v>
      </c>
      <c r="F1270" s="10" t="s">
        <v>2549</v>
      </c>
      <c r="G1270" s="1" t="s">
        <v>8</v>
      </c>
      <c r="H1270" s="15">
        <f>MONTH(tblClean[[#This Row],[Date]])</f>
        <v>3</v>
      </c>
      <c r="I1270" s="15">
        <f>YEAR(tblClean[[#This Row],[Date]])</f>
        <v>2024</v>
      </c>
    </row>
    <row r="1271" spans="1:9" x14ac:dyDescent="0.25">
      <c r="A1271" s="7">
        <v>45366</v>
      </c>
      <c r="B1271" s="2" t="s">
        <v>2550</v>
      </c>
      <c r="C1271" s="4" t="str">
        <f>TRIM(CLEAN(PROPER(tblClean[[#This Row],[Transaction Description]])))</f>
        <v>Country Approach.</v>
      </c>
      <c r="D1271" s="2" t="s">
        <v>38</v>
      </c>
      <c r="E1271" s="3" t="str">
        <f>TRIM(CLEAN(PROPER(tblClean[[#This Row],[Category]])))</f>
        <v>Salary</v>
      </c>
      <c r="F1271" s="11" t="s">
        <v>2551</v>
      </c>
      <c r="G1271" s="2" t="s">
        <v>8</v>
      </c>
      <c r="H1271" s="15">
        <f>MONTH(tblClean[[#This Row],[Date]])</f>
        <v>3</v>
      </c>
      <c r="I1271" s="15">
        <f>YEAR(tblClean[[#This Row],[Date]])</f>
        <v>2024</v>
      </c>
    </row>
    <row r="1272" spans="1:9" x14ac:dyDescent="0.25">
      <c r="A1272" s="6">
        <v>45367</v>
      </c>
      <c r="B1272" s="1" t="s">
        <v>2552</v>
      </c>
      <c r="C1272" s="3" t="str">
        <f>TRIM(CLEAN(PROPER(tblClean[[#This Row],[Transaction Description]])))</f>
        <v>Like Clear.</v>
      </c>
      <c r="D1272" s="1" t="s">
        <v>6</v>
      </c>
      <c r="E1272" s="3" t="str">
        <f>TRIM(CLEAN(PROPER(tblClean[[#This Row],[Category]])))</f>
        <v>Food &amp; Drink</v>
      </c>
      <c r="F1272" s="10" t="s">
        <v>2553</v>
      </c>
      <c r="G1272" s="1" t="s">
        <v>8</v>
      </c>
      <c r="H1272" s="15">
        <f>MONTH(tblClean[[#This Row],[Date]])</f>
        <v>3</v>
      </c>
      <c r="I1272" s="15">
        <f>YEAR(tblClean[[#This Row],[Date]])</f>
        <v>2024</v>
      </c>
    </row>
    <row r="1273" spans="1:9" x14ac:dyDescent="0.25">
      <c r="A1273" s="7">
        <v>45369</v>
      </c>
      <c r="B1273" s="2" t="s">
        <v>2554</v>
      </c>
      <c r="C1273" s="4" t="str">
        <f>TRIM(CLEAN(PROPER(tblClean[[#This Row],[Transaction Description]])))</f>
        <v>Break Time Manager Kid.</v>
      </c>
      <c r="D1273" s="2" t="s">
        <v>16</v>
      </c>
      <c r="E1273" s="3" t="str">
        <f>TRIM(CLEAN(PROPER(tblClean[[#This Row],[Category]])))</f>
        <v>Investment</v>
      </c>
      <c r="F1273" s="11" t="s">
        <v>2555</v>
      </c>
      <c r="G1273" s="2" t="s">
        <v>18</v>
      </c>
      <c r="H1273" s="15">
        <f>MONTH(tblClean[[#This Row],[Date]])</f>
        <v>3</v>
      </c>
      <c r="I1273" s="15">
        <f>YEAR(tblClean[[#This Row],[Date]])</f>
        <v>2024</v>
      </c>
    </row>
    <row r="1274" spans="1:9" x14ac:dyDescent="0.25">
      <c r="A1274" s="6">
        <v>45377</v>
      </c>
      <c r="B1274" s="1" t="s">
        <v>2556</v>
      </c>
      <c r="C1274" s="3" t="str">
        <f>TRIM(CLEAN(PROPER(tblClean[[#This Row],[Transaction Description]])))</f>
        <v>Leader Both Rest Challenge.</v>
      </c>
      <c r="D1274" s="1" t="s">
        <v>6</v>
      </c>
      <c r="E1274" s="3" t="str">
        <f>TRIM(CLEAN(PROPER(tblClean[[#This Row],[Category]])))</f>
        <v>Food &amp; Drink</v>
      </c>
      <c r="F1274" s="10" t="s">
        <v>2557</v>
      </c>
      <c r="G1274" s="1" t="s">
        <v>8</v>
      </c>
      <c r="H1274" s="15">
        <f>MONTH(tblClean[[#This Row],[Date]])</f>
        <v>3</v>
      </c>
      <c r="I1274" s="15">
        <f>YEAR(tblClean[[#This Row],[Date]])</f>
        <v>2024</v>
      </c>
    </row>
    <row r="1275" spans="1:9" x14ac:dyDescent="0.25">
      <c r="A1275" s="7">
        <v>45378</v>
      </c>
      <c r="B1275" s="2" t="s">
        <v>2558</v>
      </c>
      <c r="C1275" s="4" t="str">
        <f>TRIM(CLEAN(PROPER(tblClean[[#This Row],[Transaction Description]])))</f>
        <v>Data Exist.</v>
      </c>
      <c r="D1275" s="2" t="s">
        <v>16</v>
      </c>
      <c r="E1275" s="3" t="str">
        <f>TRIM(CLEAN(PROPER(tblClean[[#This Row],[Category]])))</f>
        <v>Investment</v>
      </c>
      <c r="F1275" s="11" t="s">
        <v>2559</v>
      </c>
      <c r="G1275" s="2" t="s">
        <v>18</v>
      </c>
      <c r="H1275" s="15">
        <f>MONTH(tblClean[[#This Row],[Date]])</f>
        <v>3</v>
      </c>
      <c r="I1275" s="15">
        <f>YEAR(tblClean[[#This Row],[Date]])</f>
        <v>2024</v>
      </c>
    </row>
    <row r="1276" spans="1:9" x14ac:dyDescent="0.25">
      <c r="A1276" s="6">
        <v>45379</v>
      </c>
      <c r="B1276" s="1" t="s">
        <v>2560</v>
      </c>
      <c r="C1276" s="3" t="str">
        <f>TRIM(CLEAN(PROPER(tblClean[[#This Row],[Transaction Description]])))</f>
        <v>State None Production Defense Your.</v>
      </c>
      <c r="D1276" s="1" t="s">
        <v>53</v>
      </c>
      <c r="E1276" s="3" t="str">
        <f>TRIM(CLEAN(PROPER(tblClean[[#This Row],[Category]])))</f>
        <v>Travel</v>
      </c>
      <c r="F1276" s="10" t="s">
        <v>2561</v>
      </c>
      <c r="G1276" s="1" t="s">
        <v>8</v>
      </c>
      <c r="H1276" s="15">
        <f>MONTH(tblClean[[#This Row],[Date]])</f>
        <v>3</v>
      </c>
      <c r="I1276" s="15">
        <f>YEAR(tblClean[[#This Row],[Date]])</f>
        <v>2024</v>
      </c>
    </row>
    <row r="1277" spans="1:9" x14ac:dyDescent="0.25">
      <c r="A1277" s="7">
        <v>45380</v>
      </c>
      <c r="B1277" s="2" t="s">
        <v>2562</v>
      </c>
      <c r="C1277" s="4" t="str">
        <f>TRIM(CLEAN(PROPER(tblClean[[#This Row],[Transaction Description]])))</f>
        <v>Short Congress Turn East Marriage.</v>
      </c>
      <c r="D1277" s="2" t="s">
        <v>38</v>
      </c>
      <c r="E1277" s="3" t="str">
        <f>TRIM(CLEAN(PROPER(tblClean[[#This Row],[Category]])))</f>
        <v>Salary</v>
      </c>
      <c r="F1277" s="11" t="s">
        <v>2563</v>
      </c>
      <c r="G1277" s="2" t="s">
        <v>8</v>
      </c>
      <c r="H1277" s="15">
        <f>MONTH(tblClean[[#This Row],[Date]])</f>
        <v>3</v>
      </c>
      <c r="I1277" s="15">
        <f>YEAR(tblClean[[#This Row],[Date]])</f>
        <v>2024</v>
      </c>
    </row>
    <row r="1278" spans="1:9" x14ac:dyDescent="0.25">
      <c r="A1278" s="6">
        <v>45381</v>
      </c>
      <c r="B1278" s="1" t="s">
        <v>2564</v>
      </c>
      <c r="C1278" s="3" t="str">
        <f>TRIM(CLEAN(PROPER(tblClean[[#This Row],[Transaction Description]])))</f>
        <v>Ago Race Quite Hour.</v>
      </c>
      <c r="D1278" s="1" t="s">
        <v>6</v>
      </c>
      <c r="E1278" s="3" t="str">
        <f>TRIM(CLEAN(PROPER(tblClean[[#This Row],[Category]])))</f>
        <v>Food &amp; Drink</v>
      </c>
      <c r="F1278" s="10" t="s">
        <v>2565</v>
      </c>
      <c r="G1278" s="1" t="s">
        <v>8</v>
      </c>
      <c r="H1278" s="15">
        <f>MONTH(tblClean[[#This Row],[Date]])</f>
        <v>3</v>
      </c>
      <c r="I1278" s="15">
        <f>YEAR(tblClean[[#This Row],[Date]])</f>
        <v>2024</v>
      </c>
    </row>
    <row r="1279" spans="1:9" x14ac:dyDescent="0.25">
      <c r="A1279" s="7">
        <v>45381</v>
      </c>
      <c r="B1279" s="2" t="s">
        <v>2566</v>
      </c>
      <c r="C1279" s="4" t="str">
        <f>TRIM(CLEAN(PROPER(tblClean[[#This Row],[Transaction Description]])))</f>
        <v>Child Ball Store Process.</v>
      </c>
      <c r="D1279" s="2" t="s">
        <v>10</v>
      </c>
      <c r="E1279" s="3" t="str">
        <f>TRIM(CLEAN(PROPER(tblClean[[#This Row],[Category]])))</f>
        <v>Utilities</v>
      </c>
      <c r="F1279" s="11" t="s">
        <v>2567</v>
      </c>
      <c r="G1279" s="2" t="s">
        <v>8</v>
      </c>
      <c r="H1279" s="15">
        <f>MONTH(tblClean[[#This Row],[Date]])</f>
        <v>3</v>
      </c>
      <c r="I1279" s="15">
        <f>YEAR(tblClean[[#This Row],[Date]])</f>
        <v>2024</v>
      </c>
    </row>
    <row r="1280" spans="1:9" x14ac:dyDescent="0.25">
      <c r="A1280" s="6">
        <v>45385</v>
      </c>
      <c r="B1280" s="1" t="s">
        <v>2568</v>
      </c>
      <c r="C1280" s="3" t="str">
        <f>TRIM(CLEAN(PROPER(tblClean[[#This Row],[Transaction Description]])))</f>
        <v>Western Order Accept Wide Prevent.</v>
      </c>
      <c r="D1280" s="1" t="s">
        <v>53</v>
      </c>
      <c r="E1280" s="3" t="str">
        <f>TRIM(CLEAN(PROPER(tblClean[[#This Row],[Category]])))</f>
        <v>Travel</v>
      </c>
      <c r="F1280" s="10" t="s">
        <v>2569</v>
      </c>
      <c r="G1280" s="1" t="s">
        <v>8</v>
      </c>
      <c r="H1280" s="15">
        <f>MONTH(tblClean[[#This Row],[Date]])</f>
        <v>4</v>
      </c>
      <c r="I1280" s="15">
        <f>YEAR(tblClean[[#This Row],[Date]])</f>
        <v>2024</v>
      </c>
    </row>
    <row r="1281" spans="1:9" x14ac:dyDescent="0.25">
      <c r="A1281" s="7">
        <v>45386</v>
      </c>
      <c r="B1281" s="2" t="s">
        <v>2570</v>
      </c>
      <c r="C1281" s="4" t="str">
        <f>TRIM(CLEAN(PROPER(tblClean[[#This Row],[Transaction Description]])))</f>
        <v>Water Yourself Trade Someone.</v>
      </c>
      <c r="D1281" s="2" t="s">
        <v>27</v>
      </c>
      <c r="E1281" s="3" t="str">
        <f>TRIM(CLEAN(PROPER(tblClean[[#This Row],[Category]])))</f>
        <v>Other</v>
      </c>
      <c r="F1281" s="11" t="s">
        <v>2571</v>
      </c>
      <c r="G1281" s="2" t="s">
        <v>18</v>
      </c>
      <c r="H1281" s="15">
        <f>MONTH(tblClean[[#This Row],[Date]])</f>
        <v>4</v>
      </c>
      <c r="I1281" s="15">
        <f>YEAR(tblClean[[#This Row],[Date]])</f>
        <v>2024</v>
      </c>
    </row>
    <row r="1282" spans="1:9" x14ac:dyDescent="0.25">
      <c r="A1282" s="6">
        <v>45388</v>
      </c>
      <c r="B1282" s="1" t="s">
        <v>2572</v>
      </c>
      <c r="C1282" s="3" t="str">
        <f>TRIM(CLEAN(PROPER(tblClean[[#This Row],[Transaction Description]])))</f>
        <v>Tell Soon Executive.</v>
      </c>
      <c r="D1282" s="1" t="s">
        <v>10</v>
      </c>
      <c r="E1282" s="3" t="str">
        <f>TRIM(CLEAN(PROPER(tblClean[[#This Row],[Category]])))</f>
        <v>Utilities</v>
      </c>
      <c r="F1282" s="10" t="s">
        <v>2573</v>
      </c>
      <c r="G1282" s="1" t="s">
        <v>8</v>
      </c>
      <c r="H1282" s="15">
        <f>MONTH(tblClean[[#This Row],[Date]])</f>
        <v>4</v>
      </c>
      <c r="I1282" s="15">
        <f>YEAR(tblClean[[#This Row],[Date]])</f>
        <v>2024</v>
      </c>
    </row>
    <row r="1283" spans="1:9" x14ac:dyDescent="0.25">
      <c r="A1283" s="7">
        <v>45389</v>
      </c>
      <c r="B1283" s="2" t="s">
        <v>2574</v>
      </c>
      <c r="C1283" s="4" t="str">
        <f>TRIM(CLEAN(PROPER(tblClean[[#This Row],[Transaction Description]])))</f>
        <v>Natural Own.</v>
      </c>
      <c r="D1283" s="2" t="s">
        <v>27</v>
      </c>
      <c r="E1283" s="3" t="str">
        <f>TRIM(CLEAN(PROPER(tblClean[[#This Row],[Category]])))</f>
        <v>Other</v>
      </c>
      <c r="F1283" s="11" t="s">
        <v>2575</v>
      </c>
      <c r="G1283" s="2" t="s">
        <v>18</v>
      </c>
      <c r="H1283" s="15">
        <f>MONTH(tblClean[[#This Row],[Date]])</f>
        <v>4</v>
      </c>
      <c r="I1283" s="15">
        <f>YEAR(tblClean[[#This Row],[Date]])</f>
        <v>2024</v>
      </c>
    </row>
    <row r="1284" spans="1:9" x14ac:dyDescent="0.25">
      <c r="A1284" s="6">
        <v>45390</v>
      </c>
      <c r="B1284" s="1" t="s">
        <v>2576</v>
      </c>
      <c r="C1284" s="3" t="str">
        <f>TRIM(CLEAN(PROPER(tblClean[[#This Row],[Transaction Description]])))</f>
        <v>Effort Drive Side Human.</v>
      </c>
      <c r="D1284" s="1" t="s">
        <v>13</v>
      </c>
      <c r="E1284" s="3" t="str">
        <f>TRIM(CLEAN(PROPER(tblClean[[#This Row],[Category]])))</f>
        <v>Rent</v>
      </c>
      <c r="F1284" s="10" t="s">
        <v>2577</v>
      </c>
      <c r="G1284" s="1" t="s">
        <v>8</v>
      </c>
      <c r="H1284" s="15">
        <f>MONTH(tblClean[[#This Row],[Date]])</f>
        <v>4</v>
      </c>
      <c r="I1284" s="15">
        <f>YEAR(tblClean[[#This Row],[Date]])</f>
        <v>2024</v>
      </c>
    </row>
    <row r="1285" spans="1:9" x14ac:dyDescent="0.25">
      <c r="A1285" s="7">
        <v>45391</v>
      </c>
      <c r="B1285" s="2" t="s">
        <v>2578</v>
      </c>
      <c r="C1285" s="4" t="str">
        <f>TRIM(CLEAN(PROPER(tblClean[[#This Row],[Transaction Description]])))</f>
        <v>Clear Single Expect.</v>
      </c>
      <c r="D1285" s="2" t="s">
        <v>35</v>
      </c>
      <c r="E1285" s="3" t="str">
        <f>TRIM(CLEAN(PROPER(tblClean[[#This Row],[Category]])))</f>
        <v>Health &amp; Fitness</v>
      </c>
      <c r="F1285" s="11" t="s">
        <v>2579</v>
      </c>
      <c r="G1285" s="2" t="s">
        <v>8</v>
      </c>
      <c r="H1285" s="15">
        <f>MONTH(tblClean[[#This Row],[Date]])</f>
        <v>4</v>
      </c>
      <c r="I1285" s="15">
        <f>YEAR(tblClean[[#This Row],[Date]])</f>
        <v>2024</v>
      </c>
    </row>
    <row r="1286" spans="1:9" x14ac:dyDescent="0.25">
      <c r="A1286" s="6">
        <v>45391</v>
      </c>
      <c r="B1286" s="1" t="s">
        <v>2580</v>
      </c>
      <c r="C1286" s="3" t="str">
        <f>TRIM(CLEAN(PROPER(tblClean[[#This Row],[Transaction Description]])))</f>
        <v>Fear Song Save.</v>
      </c>
      <c r="D1286" s="1" t="s">
        <v>10</v>
      </c>
      <c r="E1286" s="3" t="str">
        <f>TRIM(CLEAN(PROPER(tblClean[[#This Row],[Category]])))</f>
        <v>Utilities</v>
      </c>
      <c r="F1286" s="10" t="s">
        <v>2581</v>
      </c>
      <c r="G1286" s="1" t="s">
        <v>8</v>
      </c>
      <c r="H1286" s="15">
        <f>MONTH(tblClean[[#This Row],[Date]])</f>
        <v>4</v>
      </c>
      <c r="I1286" s="15">
        <f>YEAR(tblClean[[#This Row],[Date]])</f>
        <v>2024</v>
      </c>
    </row>
    <row r="1287" spans="1:9" x14ac:dyDescent="0.25">
      <c r="A1287" s="6">
        <v>45392</v>
      </c>
      <c r="B1287" s="1" t="s">
        <v>2584</v>
      </c>
      <c r="C1287" s="3" t="str">
        <f>TRIM(CLEAN(PROPER(tblClean[[#This Row],[Transaction Description]])))</f>
        <v>Environmental Outside Bed Institution.</v>
      </c>
      <c r="D1287" s="1" t="s">
        <v>16</v>
      </c>
      <c r="E1287" s="3" t="str">
        <f>TRIM(CLEAN(PROPER(tblClean[[#This Row],[Category]])))</f>
        <v>Investment</v>
      </c>
      <c r="F1287" s="10" t="s">
        <v>2585</v>
      </c>
      <c r="G1287" s="1" t="s">
        <v>18</v>
      </c>
      <c r="H1287" s="15">
        <f>MONTH(tblClean[[#This Row],[Date]])</f>
        <v>4</v>
      </c>
      <c r="I1287" s="15">
        <f>YEAR(tblClean[[#This Row],[Date]])</f>
        <v>2024</v>
      </c>
    </row>
    <row r="1288" spans="1:9" x14ac:dyDescent="0.25">
      <c r="A1288" s="7">
        <v>45392</v>
      </c>
      <c r="B1288" s="2" t="s">
        <v>2582</v>
      </c>
      <c r="C1288" s="4" t="str">
        <f>TRIM(CLEAN(PROPER(tblClean[[#This Row],[Transaction Description]])))</f>
        <v>Capital Program Story Mention Majority.</v>
      </c>
      <c r="D1288" s="2" t="s">
        <v>53</v>
      </c>
      <c r="E1288" s="3" t="str">
        <f>TRIM(CLEAN(PROPER(tblClean[[#This Row],[Category]])))</f>
        <v>Travel</v>
      </c>
      <c r="F1288" s="11" t="s">
        <v>2583</v>
      </c>
      <c r="G1288" s="2" t="s">
        <v>8</v>
      </c>
      <c r="H1288" s="15">
        <f>MONTH(tblClean[[#This Row],[Date]])</f>
        <v>4</v>
      </c>
      <c r="I1288" s="15">
        <f>YEAR(tblClean[[#This Row],[Date]])</f>
        <v>2024</v>
      </c>
    </row>
    <row r="1289" spans="1:9" x14ac:dyDescent="0.25">
      <c r="A1289" s="7">
        <v>45393</v>
      </c>
      <c r="B1289" s="2" t="s">
        <v>2586</v>
      </c>
      <c r="C1289" s="4" t="str">
        <f>TRIM(CLEAN(PROPER(tblClean[[#This Row],[Transaction Description]])))</f>
        <v>Control Piece Behavior Message Wind.</v>
      </c>
      <c r="D1289" s="2" t="s">
        <v>13</v>
      </c>
      <c r="E1289" s="3" t="str">
        <f>TRIM(CLEAN(PROPER(tblClean[[#This Row],[Category]])))</f>
        <v>Rent</v>
      </c>
      <c r="F1289" s="11" t="s">
        <v>2587</v>
      </c>
      <c r="G1289" s="2" t="s">
        <v>8</v>
      </c>
      <c r="H1289" s="15">
        <f>MONTH(tblClean[[#This Row],[Date]])</f>
        <v>4</v>
      </c>
      <c r="I1289" s="15">
        <f>YEAR(tblClean[[#This Row],[Date]])</f>
        <v>2024</v>
      </c>
    </row>
    <row r="1290" spans="1:9" x14ac:dyDescent="0.25">
      <c r="A1290" s="6">
        <v>45395</v>
      </c>
      <c r="B1290" s="1" t="s">
        <v>2588</v>
      </c>
      <c r="C1290" s="3" t="str">
        <f>TRIM(CLEAN(PROPER(tblClean[[#This Row],[Transaction Description]])))</f>
        <v>Us Money Positive.</v>
      </c>
      <c r="D1290" s="1" t="s">
        <v>16</v>
      </c>
      <c r="E1290" s="3" t="str">
        <f>TRIM(CLEAN(PROPER(tblClean[[#This Row],[Category]])))</f>
        <v>Investment</v>
      </c>
      <c r="F1290" s="10" t="s">
        <v>2589</v>
      </c>
      <c r="G1290" s="1" t="s">
        <v>18</v>
      </c>
      <c r="H1290" s="15">
        <f>MONTH(tblClean[[#This Row],[Date]])</f>
        <v>4</v>
      </c>
      <c r="I1290" s="15">
        <f>YEAR(tblClean[[#This Row],[Date]])</f>
        <v>2024</v>
      </c>
    </row>
    <row r="1291" spans="1:9" x14ac:dyDescent="0.25">
      <c r="A1291" s="7">
        <v>45398</v>
      </c>
      <c r="B1291" s="2" t="s">
        <v>2590</v>
      </c>
      <c r="C1291" s="4" t="str">
        <f>TRIM(CLEAN(PROPER(tblClean[[#This Row],[Transaction Description]])))</f>
        <v>Life Bad Soon.</v>
      </c>
      <c r="D1291" s="2" t="s">
        <v>38</v>
      </c>
      <c r="E1291" s="3" t="str">
        <f>TRIM(CLEAN(PROPER(tblClean[[#This Row],[Category]])))</f>
        <v>Salary</v>
      </c>
      <c r="F1291" s="11" t="s">
        <v>2591</v>
      </c>
      <c r="G1291" s="2" t="s">
        <v>8</v>
      </c>
      <c r="H1291" s="15">
        <f>MONTH(tblClean[[#This Row],[Date]])</f>
        <v>4</v>
      </c>
      <c r="I1291" s="15">
        <f>YEAR(tblClean[[#This Row],[Date]])</f>
        <v>2024</v>
      </c>
    </row>
    <row r="1292" spans="1:9" x14ac:dyDescent="0.25">
      <c r="A1292" s="6">
        <v>45399</v>
      </c>
      <c r="B1292" s="1" t="s">
        <v>2592</v>
      </c>
      <c r="C1292" s="3" t="str">
        <f>TRIM(CLEAN(PROPER(tblClean[[#This Row],[Transaction Description]])))</f>
        <v>Worker Range Feel.</v>
      </c>
      <c r="D1292" s="1" t="s">
        <v>30</v>
      </c>
      <c r="E1292" s="3" t="str">
        <f>TRIM(CLEAN(PROPER(tblClean[[#This Row],[Category]])))</f>
        <v>Entertainment</v>
      </c>
      <c r="F1292" s="10" t="s">
        <v>2593</v>
      </c>
      <c r="G1292" s="1" t="s">
        <v>8</v>
      </c>
      <c r="H1292" s="15">
        <f>MONTH(tblClean[[#This Row],[Date]])</f>
        <v>4</v>
      </c>
      <c r="I1292" s="15">
        <f>YEAR(tblClean[[#This Row],[Date]])</f>
        <v>2024</v>
      </c>
    </row>
    <row r="1293" spans="1:9" x14ac:dyDescent="0.25">
      <c r="A1293" s="7">
        <v>45399</v>
      </c>
      <c r="B1293" s="2" t="s">
        <v>2594</v>
      </c>
      <c r="C1293" s="4" t="str">
        <f>TRIM(CLEAN(PROPER(tblClean[[#This Row],[Transaction Description]])))</f>
        <v>Into Notice Necessary True Message.</v>
      </c>
      <c r="D1293" s="2" t="s">
        <v>30</v>
      </c>
      <c r="E1293" s="3" t="str">
        <f>TRIM(CLEAN(PROPER(tblClean[[#This Row],[Category]])))</f>
        <v>Entertainment</v>
      </c>
      <c r="F1293" s="11" t="s">
        <v>2595</v>
      </c>
      <c r="G1293" s="2" t="s">
        <v>8</v>
      </c>
      <c r="H1293" s="15">
        <f>MONTH(tblClean[[#This Row],[Date]])</f>
        <v>4</v>
      </c>
      <c r="I1293" s="15">
        <f>YEAR(tblClean[[#This Row],[Date]])</f>
        <v>2024</v>
      </c>
    </row>
    <row r="1294" spans="1:9" x14ac:dyDescent="0.25">
      <c r="A1294" s="6">
        <v>45399</v>
      </c>
      <c r="B1294" s="1" t="s">
        <v>2596</v>
      </c>
      <c r="C1294" s="3" t="str">
        <f>TRIM(CLEAN(PROPER(tblClean[[#This Row],[Transaction Description]])))</f>
        <v>Including Let Result Spend.</v>
      </c>
      <c r="D1294" s="1" t="s">
        <v>53</v>
      </c>
      <c r="E1294" s="3" t="str">
        <f>TRIM(CLEAN(PROPER(tblClean[[#This Row],[Category]])))</f>
        <v>Travel</v>
      </c>
      <c r="F1294" s="10" t="s">
        <v>2597</v>
      </c>
      <c r="G1294" s="1" t="s">
        <v>8</v>
      </c>
      <c r="H1294" s="15">
        <f>MONTH(tblClean[[#This Row],[Date]])</f>
        <v>4</v>
      </c>
      <c r="I1294" s="15">
        <f>YEAR(tblClean[[#This Row],[Date]])</f>
        <v>2024</v>
      </c>
    </row>
    <row r="1295" spans="1:9" x14ac:dyDescent="0.25">
      <c r="A1295" s="7">
        <v>45400</v>
      </c>
      <c r="B1295" s="2" t="s">
        <v>2598</v>
      </c>
      <c r="C1295" s="4" t="str">
        <f>TRIM(CLEAN(PROPER(tblClean[[#This Row],[Transaction Description]])))</f>
        <v>One Shoulder Administration.</v>
      </c>
      <c r="D1295" s="2" t="s">
        <v>27</v>
      </c>
      <c r="E1295" s="3" t="str">
        <f>TRIM(CLEAN(PROPER(tblClean[[#This Row],[Category]])))</f>
        <v>Other</v>
      </c>
      <c r="F1295" s="11" t="s">
        <v>2599</v>
      </c>
      <c r="G1295" s="2" t="s">
        <v>18</v>
      </c>
      <c r="H1295" s="15">
        <f>MONTH(tblClean[[#This Row],[Date]])</f>
        <v>4</v>
      </c>
      <c r="I1295" s="15">
        <f>YEAR(tblClean[[#This Row],[Date]])</f>
        <v>2024</v>
      </c>
    </row>
    <row r="1296" spans="1:9" x14ac:dyDescent="0.25">
      <c r="A1296" s="6">
        <v>45402</v>
      </c>
      <c r="B1296" s="1" t="s">
        <v>2600</v>
      </c>
      <c r="C1296" s="3" t="str">
        <f>TRIM(CLEAN(PROPER(tblClean[[#This Row],[Transaction Description]])))</f>
        <v>Skill Successful And.</v>
      </c>
      <c r="D1296" s="1" t="s">
        <v>10</v>
      </c>
      <c r="E1296" s="3" t="str">
        <f>TRIM(CLEAN(PROPER(tblClean[[#This Row],[Category]])))</f>
        <v>Utilities</v>
      </c>
      <c r="F1296" s="10" t="s">
        <v>2601</v>
      </c>
      <c r="G1296" s="1" t="s">
        <v>8</v>
      </c>
      <c r="H1296" s="15">
        <f>MONTH(tblClean[[#This Row],[Date]])</f>
        <v>4</v>
      </c>
      <c r="I1296" s="15">
        <f>YEAR(tblClean[[#This Row],[Date]])</f>
        <v>2024</v>
      </c>
    </row>
    <row r="1297" spans="1:9" x14ac:dyDescent="0.25">
      <c r="A1297" s="7">
        <v>45403</v>
      </c>
      <c r="B1297" s="2" t="s">
        <v>2602</v>
      </c>
      <c r="C1297" s="4" t="str">
        <f>TRIM(CLEAN(PROPER(tblClean[[#This Row],[Transaction Description]])))</f>
        <v>Finish Right Serious.</v>
      </c>
      <c r="D1297" s="2" t="s">
        <v>30</v>
      </c>
      <c r="E1297" s="3" t="str">
        <f>TRIM(CLEAN(PROPER(tblClean[[#This Row],[Category]])))</f>
        <v>Entertainment</v>
      </c>
      <c r="F1297" s="11" t="s">
        <v>2603</v>
      </c>
      <c r="G1297" s="2" t="s">
        <v>8</v>
      </c>
      <c r="H1297" s="15">
        <f>MONTH(tblClean[[#This Row],[Date]])</f>
        <v>4</v>
      </c>
      <c r="I1297" s="15">
        <f>YEAR(tblClean[[#This Row],[Date]])</f>
        <v>2024</v>
      </c>
    </row>
    <row r="1298" spans="1:9" x14ac:dyDescent="0.25">
      <c r="A1298" s="6">
        <v>45404</v>
      </c>
      <c r="B1298" s="1" t="s">
        <v>2604</v>
      </c>
      <c r="C1298" s="3" t="str">
        <f>TRIM(CLEAN(PROPER(tblClean[[#This Row],[Transaction Description]])))</f>
        <v>Space Game Truth Special Decision.</v>
      </c>
      <c r="D1298" s="1" t="s">
        <v>53</v>
      </c>
      <c r="E1298" s="3" t="str">
        <f>TRIM(CLEAN(PROPER(tblClean[[#This Row],[Category]])))</f>
        <v>Travel</v>
      </c>
      <c r="F1298" s="10" t="s">
        <v>2605</v>
      </c>
      <c r="G1298" s="1" t="s">
        <v>8</v>
      </c>
      <c r="H1298" s="15">
        <f>MONTH(tblClean[[#This Row],[Date]])</f>
        <v>4</v>
      </c>
      <c r="I1298" s="15">
        <f>YEAR(tblClean[[#This Row],[Date]])</f>
        <v>2024</v>
      </c>
    </row>
    <row r="1299" spans="1:9" x14ac:dyDescent="0.25">
      <c r="A1299" s="7">
        <v>45405</v>
      </c>
      <c r="B1299" s="2" t="s">
        <v>2606</v>
      </c>
      <c r="C1299" s="4" t="str">
        <f>TRIM(CLEAN(PROPER(tblClean[[#This Row],[Transaction Description]])))</f>
        <v>Else Pull Its Adult House.</v>
      </c>
      <c r="D1299" s="2" t="s">
        <v>27</v>
      </c>
      <c r="E1299" s="3" t="str">
        <f>TRIM(CLEAN(PROPER(tblClean[[#This Row],[Category]])))</f>
        <v>Other</v>
      </c>
      <c r="F1299" s="11" t="s">
        <v>2607</v>
      </c>
      <c r="G1299" s="2" t="s">
        <v>18</v>
      </c>
      <c r="H1299" s="15">
        <f>MONTH(tblClean[[#This Row],[Date]])</f>
        <v>4</v>
      </c>
      <c r="I1299" s="15">
        <f>YEAR(tblClean[[#This Row],[Date]])</f>
        <v>2024</v>
      </c>
    </row>
    <row r="1300" spans="1:9" x14ac:dyDescent="0.25">
      <c r="A1300" s="6">
        <v>45407</v>
      </c>
      <c r="B1300" s="1" t="s">
        <v>2608</v>
      </c>
      <c r="C1300" s="3" t="str">
        <f>TRIM(CLEAN(PROPER(tblClean[[#This Row],[Transaction Description]])))</f>
        <v>Pretty Least If.</v>
      </c>
      <c r="D1300" s="1" t="s">
        <v>35</v>
      </c>
      <c r="E1300" s="3" t="str">
        <f>TRIM(CLEAN(PROPER(tblClean[[#This Row],[Category]])))</f>
        <v>Health &amp; Fitness</v>
      </c>
      <c r="F1300" s="10" t="s">
        <v>2609</v>
      </c>
      <c r="G1300" s="1" t="s">
        <v>8</v>
      </c>
      <c r="H1300" s="15">
        <f>MONTH(tblClean[[#This Row],[Date]])</f>
        <v>4</v>
      </c>
      <c r="I1300" s="15">
        <f>YEAR(tblClean[[#This Row],[Date]])</f>
        <v>2024</v>
      </c>
    </row>
    <row r="1301" spans="1:9" x14ac:dyDescent="0.25">
      <c r="A1301" s="7">
        <v>45408</v>
      </c>
      <c r="B1301" s="2" t="s">
        <v>2610</v>
      </c>
      <c r="C1301" s="4" t="str">
        <f>TRIM(CLEAN(PROPER(tblClean[[#This Row],[Transaction Description]])))</f>
        <v>Peace Wind Guess.</v>
      </c>
      <c r="D1301" s="2" t="s">
        <v>13</v>
      </c>
      <c r="E1301" s="3" t="str">
        <f>TRIM(CLEAN(PROPER(tblClean[[#This Row],[Category]])))</f>
        <v>Rent</v>
      </c>
      <c r="F1301" s="11" t="s">
        <v>2611</v>
      </c>
      <c r="G1301" s="2" t="s">
        <v>8</v>
      </c>
      <c r="H1301" s="15">
        <f>MONTH(tblClean[[#This Row],[Date]])</f>
        <v>4</v>
      </c>
      <c r="I1301" s="15">
        <f>YEAR(tblClean[[#This Row],[Date]])</f>
        <v>2024</v>
      </c>
    </row>
    <row r="1302" spans="1:9" x14ac:dyDescent="0.25">
      <c r="A1302" s="6">
        <v>45408</v>
      </c>
      <c r="B1302" s="1" t="s">
        <v>2612</v>
      </c>
      <c r="C1302" s="3" t="str">
        <f>TRIM(CLEAN(PROPER(tblClean[[#This Row],[Transaction Description]])))</f>
        <v>Because Career Course.</v>
      </c>
      <c r="D1302" s="1" t="s">
        <v>53</v>
      </c>
      <c r="E1302" s="3" t="str">
        <f>TRIM(CLEAN(PROPER(tblClean[[#This Row],[Category]])))</f>
        <v>Travel</v>
      </c>
      <c r="F1302" s="10" t="s">
        <v>2613</v>
      </c>
      <c r="G1302" s="1" t="s">
        <v>8</v>
      </c>
      <c r="H1302" s="15">
        <f>MONTH(tblClean[[#This Row],[Date]])</f>
        <v>4</v>
      </c>
      <c r="I1302" s="15">
        <f>YEAR(tblClean[[#This Row],[Date]])</f>
        <v>2024</v>
      </c>
    </row>
    <row r="1303" spans="1:9" x14ac:dyDescent="0.25">
      <c r="A1303" s="7">
        <v>45412</v>
      </c>
      <c r="B1303" s="2" t="s">
        <v>2614</v>
      </c>
      <c r="C1303" s="4" t="str">
        <f>TRIM(CLEAN(PROPER(tblClean[[#This Row],[Transaction Description]])))</f>
        <v>Teacher Decide Possible.</v>
      </c>
      <c r="D1303" s="2" t="s">
        <v>16</v>
      </c>
      <c r="E1303" s="3" t="str">
        <f>TRIM(CLEAN(PROPER(tblClean[[#This Row],[Category]])))</f>
        <v>Investment</v>
      </c>
      <c r="F1303" s="11" t="s">
        <v>2615</v>
      </c>
      <c r="G1303" s="2" t="s">
        <v>18</v>
      </c>
      <c r="H1303" s="15">
        <f>MONTH(tblClean[[#This Row],[Date]])</f>
        <v>4</v>
      </c>
      <c r="I1303" s="15">
        <f>YEAR(tblClean[[#This Row],[Date]])</f>
        <v>2024</v>
      </c>
    </row>
    <row r="1304" spans="1:9" x14ac:dyDescent="0.25">
      <c r="A1304" s="6">
        <v>45414</v>
      </c>
      <c r="B1304" s="1" t="s">
        <v>2616</v>
      </c>
      <c r="C1304" s="3" t="str">
        <f>TRIM(CLEAN(PROPER(tblClean[[#This Row],[Transaction Description]])))</f>
        <v>Success Teach Mrs Beat.</v>
      </c>
      <c r="D1304" s="1" t="s">
        <v>13</v>
      </c>
      <c r="E1304" s="3" t="str">
        <f>TRIM(CLEAN(PROPER(tblClean[[#This Row],[Category]])))</f>
        <v>Rent</v>
      </c>
      <c r="F1304" s="10" t="s">
        <v>2617</v>
      </c>
      <c r="G1304" s="1" t="s">
        <v>8</v>
      </c>
      <c r="H1304" s="15">
        <f>MONTH(tblClean[[#This Row],[Date]])</f>
        <v>5</v>
      </c>
      <c r="I1304" s="15">
        <f>YEAR(tblClean[[#This Row],[Date]])</f>
        <v>2024</v>
      </c>
    </row>
    <row r="1305" spans="1:9" x14ac:dyDescent="0.25">
      <c r="A1305" s="7">
        <v>45415</v>
      </c>
      <c r="B1305" s="2" t="s">
        <v>2618</v>
      </c>
      <c r="C1305" s="4" t="str">
        <f>TRIM(CLEAN(PROPER(tblClean[[#This Row],[Transaction Description]])))</f>
        <v>Listen Against Coach.</v>
      </c>
      <c r="D1305" s="2" t="s">
        <v>6</v>
      </c>
      <c r="E1305" s="3" t="str">
        <f>TRIM(CLEAN(PROPER(tblClean[[#This Row],[Category]])))</f>
        <v>Food &amp; Drink</v>
      </c>
      <c r="F1305" s="11" t="s">
        <v>2619</v>
      </c>
      <c r="G1305" s="2" t="s">
        <v>8</v>
      </c>
      <c r="H1305" s="15">
        <f>MONTH(tblClean[[#This Row],[Date]])</f>
        <v>5</v>
      </c>
      <c r="I1305" s="15">
        <f>YEAR(tblClean[[#This Row],[Date]])</f>
        <v>2024</v>
      </c>
    </row>
    <row r="1306" spans="1:9" x14ac:dyDescent="0.25">
      <c r="A1306" s="6">
        <v>45416</v>
      </c>
      <c r="B1306" s="1" t="s">
        <v>2620</v>
      </c>
      <c r="C1306" s="3" t="str">
        <f>TRIM(CLEAN(PROPER(tblClean[[#This Row],[Transaction Description]])))</f>
        <v>White Likely Teacher One.</v>
      </c>
      <c r="D1306" s="1" t="s">
        <v>30</v>
      </c>
      <c r="E1306" s="3" t="str">
        <f>TRIM(CLEAN(PROPER(tblClean[[#This Row],[Category]])))</f>
        <v>Entertainment</v>
      </c>
      <c r="F1306" s="10" t="s">
        <v>2621</v>
      </c>
      <c r="G1306" s="1" t="s">
        <v>8</v>
      </c>
      <c r="H1306" s="15">
        <f>MONTH(tblClean[[#This Row],[Date]])</f>
        <v>5</v>
      </c>
      <c r="I1306" s="15">
        <f>YEAR(tblClean[[#This Row],[Date]])</f>
        <v>2024</v>
      </c>
    </row>
    <row r="1307" spans="1:9" x14ac:dyDescent="0.25">
      <c r="A1307" s="7">
        <v>45416</v>
      </c>
      <c r="B1307" s="2" t="s">
        <v>2622</v>
      </c>
      <c r="C1307" s="4" t="str">
        <f>TRIM(CLEAN(PROPER(tblClean[[#This Row],[Transaction Description]])))</f>
        <v>Notice Street Anything.</v>
      </c>
      <c r="D1307" s="2" t="s">
        <v>38</v>
      </c>
      <c r="E1307" s="3" t="str">
        <f>TRIM(CLEAN(PROPER(tblClean[[#This Row],[Category]])))</f>
        <v>Salary</v>
      </c>
      <c r="F1307" s="11" t="s">
        <v>2623</v>
      </c>
      <c r="G1307" s="2" t="s">
        <v>8</v>
      </c>
      <c r="H1307" s="15">
        <f>MONTH(tblClean[[#This Row],[Date]])</f>
        <v>5</v>
      </c>
      <c r="I1307" s="15">
        <f>YEAR(tblClean[[#This Row],[Date]])</f>
        <v>2024</v>
      </c>
    </row>
    <row r="1308" spans="1:9" x14ac:dyDescent="0.25">
      <c r="A1308" s="6">
        <v>45417</v>
      </c>
      <c r="B1308" s="1" t="s">
        <v>2624</v>
      </c>
      <c r="C1308" s="3" t="str">
        <f>TRIM(CLEAN(PROPER(tblClean[[#This Row],[Transaction Description]])))</f>
        <v>Piece Require.</v>
      </c>
      <c r="D1308" s="1" t="s">
        <v>27</v>
      </c>
      <c r="E1308" s="3" t="str">
        <f>TRIM(CLEAN(PROPER(tblClean[[#This Row],[Category]])))</f>
        <v>Other</v>
      </c>
      <c r="F1308" s="10" t="s">
        <v>2625</v>
      </c>
      <c r="G1308" s="1" t="s">
        <v>18</v>
      </c>
      <c r="H1308" s="15">
        <f>MONTH(tblClean[[#This Row],[Date]])</f>
        <v>5</v>
      </c>
      <c r="I1308" s="15">
        <f>YEAR(tblClean[[#This Row],[Date]])</f>
        <v>2024</v>
      </c>
    </row>
    <row r="1309" spans="1:9" x14ac:dyDescent="0.25">
      <c r="A1309" s="7">
        <v>45417</v>
      </c>
      <c r="B1309" s="2" t="s">
        <v>2626</v>
      </c>
      <c r="C1309" s="4" t="str">
        <f>TRIM(CLEAN(PROPER(tblClean[[#This Row],[Transaction Description]])))</f>
        <v>Say Other Never Fact.</v>
      </c>
      <c r="D1309" s="2" t="s">
        <v>53</v>
      </c>
      <c r="E1309" s="3" t="str">
        <f>TRIM(CLEAN(PROPER(tblClean[[#This Row],[Category]])))</f>
        <v>Travel</v>
      </c>
      <c r="F1309" s="11" t="s">
        <v>2627</v>
      </c>
      <c r="G1309" s="2" t="s">
        <v>8</v>
      </c>
      <c r="H1309" s="15">
        <f>MONTH(tblClean[[#This Row],[Date]])</f>
        <v>5</v>
      </c>
      <c r="I1309" s="15">
        <f>YEAR(tblClean[[#This Row],[Date]])</f>
        <v>2024</v>
      </c>
    </row>
    <row r="1310" spans="1:9" x14ac:dyDescent="0.25">
      <c r="A1310" s="6">
        <v>45426</v>
      </c>
      <c r="B1310" s="1" t="s">
        <v>2628</v>
      </c>
      <c r="C1310" s="3" t="str">
        <f>TRIM(CLEAN(PROPER(tblClean[[#This Row],[Transaction Description]])))</f>
        <v>Main Opportunity Particularly Question.</v>
      </c>
      <c r="D1310" s="1" t="s">
        <v>13</v>
      </c>
      <c r="E1310" s="3" t="str">
        <f>TRIM(CLEAN(PROPER(tblClean[[#This Row],[Category]])))</f>
        <v>Rent</v>
      </c>
      <c r="F1310" s="10" t="s">
        <v>2629</v>
      </c>
      <c r="G1310" s="1" t="s">
        <v>8</v>
      </c>
      <c r="H1310" s="15">
        <f>MONTH(tblClean[[#This Row],[Date]])</f>
        <v>5</v>
      </c>
      <c r="I1310" s="15">
        <f>YEAR(tblClean[[#This Row],[Date]])</f>
        <v>2024</v>
      </c>
    </row>
    <row r="1311" spans="1:9" x14ac:dyDescent="0.25">
      <c r="A1311" s="7">
        <v>45427</v>
      </c>
      <c r="B1311" s="2" t="s">
        <v>2630</v>
      </c>
      <c r="C1311" s="4" t="str">
        <f>TRIM(CLEAN(PROPER(tblClean[[#This Row],[Transaction Description]])))</f>
        <v>Research Month Instead.</v>
      </c>
      <c r="D1311" s="2" t="s">
        <v>30</v>
      </c>
      <c r="E1311" s="3" t="str">
        <f>TRIM(CLEAN(PROPER(tblClean[[#This Row],[Category]])))</f>
        <v>Entertainment</v>
      </c>
      <c r="F1311" s="11" t="s">
        <v>2631</v>
      </c>
      <c r="G1311" s="2" t="s">
        <v>8</v>
      </c>
      <c r="H1311" s="15">
        <f>MONTH(tblClean[[#This Row],[Date]])</f>
        <v>5</v>
      </c>
      <c r="I1311" s="15">
        <f>YEAR(tblClean[[#This Row],[Date]])</f>
        <v>2024</v>
      </c>
    </row>
    <row r="1312" spans="1:9" x14ac:dyDescent="0.25">
      <c r="A1312" s="6">
        <v>45429</v>
      </c>
      <c r="B1312" s="1" t="s">
        <v>2632</v>
      </c>
      <c r="C1312" s="3" t="str">
        <f>TRIM(CLEAN(PROPER(tblClean[[#This Row],[Transaction Description]])))</f>
        <v>As Throughout Individual List Manager.</v>
      </c>
      <c r="D1312" s="1" t="s">
        <v>10</v>
      </c>
      <c r="E1312" s="3" t="str">
        <f>TRIM(CLEAN(PROPER(tblClean[[#This Row],[Category]])))</f>
        <v>Utilities</v>
      </c>
      <c r="F1312" s="10" t="s">
        <v>2633</v>
      </c>
      <c r="G1312" s="1" t="s">
        <v>8</v>
      </c>
      <c r="H1312" s="15">
        <f>MONTH(tblClean[[#This Row],[Date]])</f>
        <v>5</v>
      </c>
      <c r="I1312" s="15">
        <f>YEAR(tblClean[[#This Row],[Date]])</f>
        <v>2024</v>
      </c>
    </row>
    <row r="1313" spans="1:9" x14ac:dyDescent="0.25">
      <c r="A1313" s="7">
        <v>45432</v>
      </c>
      <c r="B1313" s="2" t="s">
        <v>2634</v>
      </c>
      <c r="C1313" s="4" t="str">
        <f>TRIM(CLEAN(PROPER(tblClean[[#This Row],[Transaction Description]])))</f>
        <v>Recently Again Explain Court.</v>
      </c>
      <c r="D1313" s="2" t="s">
        <v>16</v>
      </c>
      <c r="E1313" s="3" t="str">
        <f>TRIM(CLEAN(PROPER(tblClean[[#This Row],[Category]])))</f>
        <v>Investment</v>
      </c>
      <c r="F1313" s="11" t="s">
        <v>2635</v>
      </c>
      <c r="G1313" s="2" t="s">
        <v>18</v>
      </c>
      <c r="H1313" s="15">
        <f>MONTH(tblClean[[#This Row],[Date]])</f>
        <v>5</v>
      </c>
      <c r="I1313" s="15">
        <f>YEAR(tblClean[[#This Row],[Date]])</f>
        <v>2024</v>
      </c>
    </row>
    <row r="1314" spans="1:9" x14ac:dyDescent="0.25">
      <c r="A1314" s="6">
        <v>45434</v>
      </c>
      <c r="B1314" s="1" t="s">
        <v>2636</v>
      </c>
      <c r="C1314" s="3" t="str">
        <f>TRIM(CLEAN(PROPER(tblClean[[#This Row],[Transaction Description]])))</f>
        <v>Discussion Detail Training Fund.</v>
      </c>
      <c r="D1314" s="1" t="s">
        <v>10</v>
      </c>
      <c r="E1314" s="3" t="str">
        <f>TRIM(CLEAN(PROPER(tblClean[[#This Row],[Category]])))</f>
        <v>Utilities</v>
      </c>
      <c r="F1314" s="10" t="s">
        <v>2637</v>
      </c>
      <c r="G1314" s="1" t="s">
        <v>8</v>
      </c>
      <c r="H1314" s="15">
        <f>MONTH(tblClean[[#This Row],[Date]])</f>
        <v>5</v>
      </c>
      <c r="I1314" s="15">
        <f>YEAR(tblClean[[#This Row],[Date]])</f>
        <v>2024</v>
      </c>
    </row>
    <row r="1315" spans="1:9" x14ac:dyDescent="0.25">
      <c r="A1315" s="7">
        <v>45435</v>
      </c>
      <c r="B1315" s="2" t="s">
        <v>2638</v>
      </c>
      <c r="C1315" s="4" t="str">
        <f>TRIM(CLEAN(PROPER(tblClean[[#This Row],[Transaction Description]])))</f>
        <v>Third Rich Hospital.</v>
      </c>
      <c r="D1315" s="2" t="s">
        <v>35</v>
      </c>
      <c r="E1315" s="3" t="str">
        <f>TRIM(CLEAN(PROPER(tblClean[[#This Row],[Category]])))</f>
        <v>Health &amp; Fitness</v>
      </c>
      <c r="F1315" s="11" t="s">
        <v>2639</v>
      </c>
      <c r="G1315" s="2" t="s">
        <v>8</v>
      </c>
      <c r="H1315" s="15">
        <f>MONTH(tblClean[[#This Row],[Date]])</f>
        <v>5</v>
      </c>
      <c r="I1315" s="15">
        <f>YEAR(tblClean[[#This Row],[Date]])</f>
        <v>2024</v>
      </c>
    </row>
    <row r="1316" spans="1:9" x14ac:dyDescent="0.25">
      <c r="A1316" s="6">
        <v>45437</v>
      </c>
      <c r="B1316" s="1" t="s">
        <v>2640</v>
      </c>
      <c r="C1316" s="3" t="str">
        <f>TRIM(CLEAN(PROPER(tblClean[[#This Row],[Transaction Description]])))</f>
        <v>Somebody Son Suddenly Perform.</v>
      </c>
      <c r="D1316" s="1" t="s">
        <v>30</v>
      </c>
      <c r="E1316" s="3" t="str">
        <f>TRIM(CLEAN(PROPER(tblClean[[#This Row],[Category]])))</f>
        <v>Entertainment</v>
      </c>
      <c r="F1316" s="10" t="s">
        <v>2641</v>
      </c>
      <c r="G1316" s="1" t="s">
        <v>8</v>
      </c>
      <c r="H1316" s="15">
        <f>MONTH(tblClean[[#This Row],[Date]])</f>
        <v>5</v>
      </c>
      <c r="I1316" s="15">
        <f>YEAR(tblClean[[#This Row],[Date]])</f>
        <v>2024</v>
      </c>
    </row>
    <row r="1317" spans="1:9" x14ac:dyDescent="0.25">
      <c r="A1317" s="7">
        <v>45438</v>
      </c>
      <c r="B1317" s="2" t="s">
        <v>2642</v>
      </c>
      <c r="C1317" s="4" t="str">
        <f>TRIM(CLEAN(PROPER(tblClean[[#This Row],[Transaction Description]])))</f>
        <v>Project Can.</v>
      </c>
      <c r="D1317" s="2" t="s">
        <v>6</v>
      </c>
      <c r="E1317" s="3" t="str">
        <f>TRIM(CLEAN(PROPER(tblClean[[#This Row],[Category]])))</f>
        <v>Food &amp; Drink</v>
      </c>
      <c r="F1317" s="11" t="s">
        <v>2643</v>
      </c>
      <c r="G1317" s="2" t="s">
        <v>8</v>
      </c>
      <c r="H1317" s="15">
        <f>MONTH(tblClean[[#This Row],[Date]])</f>
        <v>5</v>
      </c>
      <c r="I1317" s="15">
        <f>YEAR(tblClean[[#This Row],[Date]])</f>
        <v>2024</v>
      </c>
    </row>
    <row r="1318" spans="1:9" x14ac:dyDescent="0.25">
      <c r="A1318" s="7">
        <v>45439</v>
      </c>
      <c r="B1318" s="2" t="s">
        <v>2646</v>
      </c>
      <c r="C1318" s="4" t="str">
        <f>TRIM(CLEAN(PROPER(tblClean[[#This Row],[Transaction Description]])))</f>
        <v>Doctor News Yourself.</v>
      </c>
      <c r="D1318" s="2" t="s">
        <v>6</v>
      </c>
      <c r="E1318" s="3" t="str">
        <f>TRIM(CLEAN(PROPER(tblClean[[#This Row],[Category]])))</f>
        <v>Food &amp; Drink</v>
      </c>
      <c r="F1318" s="11" t="s">
        <v>2647</v>
      </c>
      <c r="G1318" s="2" t="s">
        <v>8</v>
      </c>
      <c r="H1318" s="15">
        <f>MONTH(tblClean[[#This Row],[Date]])</f>
        <v>5</v>
      </c>
      <c r="I1318" s="15">
        <f>YEAR(tblClean[[#This Row],[Date]])</f>
        <v>2024</v>
      </c>
    </row>
    <row r="1319" spans="1:9" x14ac:dyDescent="0.25">
      <c r="A1319" s="6">
        <v>45439</v>
      </c>
      <c r="B1319" s="1" t="s">
        <v>2644</v>
      </c>
      <c r="C1319" s="3" t="str">
        <f>TRIM(CLEAN(PROPER(tblClean[[#This Row],[Transaction Description]])))</f>
        <v>Paper Beyond Indeed.</v>
      </c>
      <c r="D1319" s="1" t="s">
        <v>35</v>
      </c>
      <c r="E1319" s="3" t="str">
        <f>TRIM(CLEAN(PROPER(tblClean[[#This Row],[Category]])))</f>
        <v>Health &amp; Fitness</v>
      </c>
      <c r="F1319" s="10" t="s">
        <v>2645</v>
      </c>
      <c r="G1319" s="1" t="s">
        <v>8</v>
      </c>
      <c r="H1319" s="15">
        <f>MONTH(tblClean[[#This Row],[Date]])</f>
        <v>5</v>
      </c>
      <c r="I1319" s="15">
        <f>YEAR(tblClean[[#This Row],[Date]])</f>
        <v>2024</v>
      </c>
    </row>
    <row r="1320" spans="1:9" x14ac:dyDescent="0.25">
      <c r="A1320" s="6">
        <v>45443</v>
      </c>
      <c r="B1320" s="1" t="s">
        <v>2648</v>
      </c>
      <c r="C1320" s="3" t="str">
        <f>TRIM(CLEAN(PROPER(tblClean[[#This Row],[Transaction Description]])))</f>
        <v>Ground City Still.</v>
      </c>
      <c r="D1320" s="1" t="s">
        <v>13</v>
      </c>
      <c r="E1320" s="3" t="str">
        <f>TRIM(CLEAN(PROPER(tblClean[[#This Row],[Category]])))</f>
        <v>Rent</v>
      </c>
      <c r="F1320" s="10" t="s">
        <v>2649</v>
      </c>
      <c r="G1320" s="1" t="s">
        <v>8</v>
      </c>
      <c r="H1320" s="15">
        <f>MONTH(tblClean[[#This Row],[Date]])</f>
        <v>5</v>
      </c>
      <c r="I1320" s="15">
        <f>YEAR(tblClean[[#This Row],[Date]])</f>
        <v>2024</v>
      </c>
    </row>
    <row r="1321" spans="1:9" x14ac:dyDescent="0.25">
      <c r="A1321" s="7">
        <v>45444</v>
      </c>
      <c r="B1321" s="2" t="s">
        <v>2650</v>
      </c>
      <c r="C1321" s="4" t="str">
        <f>TRIM(CLEAN(PROPER(tblClean[[#This Row],[Transaction Description]])))</f>
        <v>Southern Front.</v>
      </c>
      <c r="D1321" s="2" t="s">
        <v>53</v>
      </c>
      <c r="E1321" s="3" t="str">
        <f>TRIM(CLEAN(PROPER(tblClean[[#This Row],[Category]])))</f>
        <v>Travel</v>
      </c>
      <c r="F1321" s="11" t="s">
        <v>2651</v>
      </c>
      <c r="G1321" s="2" t="s">
        <v>8</v>
      </c>
      <c r="H1321" s="15">
        <f>MONTH(tblClean[[#This Row],[Date]])</f>
        <v>6</v>
      </c>
      <c r="I1321" s="15">
        <f>YEAR(tblClean[[#This Row],[Date]])</f>
        <v>2024</v>
      </c>
    </row>
    <row r="1322" spans="1:9" x14ac:dyDescent="0.25">
      <c r="A1322" s="7">
        <v>45445</v>
      </c>
      <c r="B1322" s="2" t="s">
        <v>2654</v>
      </c>
      <c r="C1322" s="4" t="str">
        <f>TRIM(CLEAN(PROPER(tblClean[[#This Row],[Transaction Description]])))</f>
        <v>Environment Character Real Middle Prove.</v>
      </c>
      <c r="D1322" s="2" t="s">
        <v>13</v>
      </c>
      <c r="E1322" s="3" t="str">
        <f>TRIM(CLEAN(PROPER(tblClean[[#This Row],[Category]])))</f>
        <v>Rent</v>
      </c>
      <c r="F1322" s="11" t="s">
        <v>2655</v>
      </c>
      <c r="G1322" s="2" t="s">
        <v>8</v>
      </c>
      <c r="H1322" s="15">
        <f>MONTH(tblClean[[#This Row],[Date]])</f>
        <v>6</v>
      </c>
      <c r="I1322" s="15">
        <f>YEAR(tblClean[[#This Row],[Date]])</f>
        <v>2024</v>
      </c>
    </row>
    <row r="1323" spans="1:9" x14ac:dyDescent="0.25">
      <c r="A1323" s="6">
        <v>45445</v>
      </c>
      <c r="B1323" s="1" t="s">
        <v>2652</v>
      </c>
      <c r="C1323" s="3" t="str">
        <f>TRIM(CLEAN(PROPER(tblClean[[#This Row],[Transaction Description]])))</f>
        <v>Dinner No Main Year Size.</v>
      </c>
      <c r="D1323" s="1" t="s">
        <v>10</v>
      </c>
      <c r="E1323" s="3" t="str">
        <f>TRIM(CLEAN(PROPER(tblClean[[#This Row],[Category]])))</f>
        <v>Utilities</v>
      </c>
      <c r="F1323" s="10" t="s">
        <v>2653</v>
      </c>
      <c r="G1323" s="1" t="s">
        <v>8</v>
      </c>
      <c r="H1323" s="15">
        <f>MONTH(tblClean[[#This Row],[Date]])</f>
        <v>6</v>
      </c>
      <c r="I1323" s="15">
        <f>YEAR(tblClean[[#This Row],[Date]])</f>
        <v>2024</v>
      </c>
    </row>
    <row r="1324" spans="1:9" x14ac:dyDescent="0.25">
      <c r="A1324" s="6">
        <v>45446</v>
      </c>
      <c r="B1324" s="1" t="s">
        <v>2656</v>
      </c>
      <c r="C1324" s="3" t="str">
        <f>TRIM(CLEAN(PROPER(tblClean[[#This Row],[Transaction Description]])))</f>
        <v>Sometimes While Sense Window.</v>
      </c>
      <c r="D1324" s="1" t="s">
        <v>30</v>
      </c>
      <c r="E1324" s="3" t="str">
        <f>TRIM(CLEAN(PROPER(tblClean[[#This Row],[Category]])))</f>
        <v>Entertainment</v>
      </c>
      <c r="F1324" s="10" t="s">
        <v>2657</v>
      </c>
      <c r="G1324" s="1" t="s">
        <v>8</v>
      </c>
      <c r="H1324" s="15">
        <f>MONTH(tblClean[[#This Row],[Date]])</f>
        <v>6</v>
      </c>
      <c r="I1324" s="15">
        <f>YEAR(tblClean[[#This Row],[Date]])</f>
        <v>2024</v>
      </c>
    </row>
    <row r="1325" spans="1:9" x14ac:dyDescent="0.25">
      <c r="A1325" s="7">
        <v>45447</v>
      </c>
      <c r="B1325" s="2" t="s">
        <v>2658</v>
      </c>
      <c r="C1325" s="4" t="str">
        <f>TRIM(CLEAN(PROPER(tblClean[[#This Row],[Transaction Description]])))</f>
        <v>Among Black Picture That Treat.</v>
      </c>
      <c r="D1325" s="2" t="s">
        <v>35</v>
      </c>
      <c r="E1325" s="3" t="str">
        <f>TRIM(CLEAN(PROPER(tblClean[[#This Row],[Category]])))</f>
        <v>Health &amp; Fitness</v>
      </c>
      <c r="F1325" s="11" t="s">
        <v>2659</v>
      </c>
      <c r="G1325" s="2" t="s">
        <v>8</v>
      </c>
      <c r="H1325" s="15">
        <f>MONTH(tblClean[[#This Row],[Date]])</f>
        <v>6</v>
      </c>
      <c r="I1325" s="15">
        <f>YEAR(tblClean[[#This Row],[Date]])</f>
        <v>2024</v>
      </c>
    </row>
    <row r="1326" spans="1:9" x14ac:dyDescent="0.25">
      <c r="A1326" s="6">
        <v>45449</v>
      </c>
      <c r="B1326" s="1" t="s">
        <v>2660</v>
      </c>
      <c r="C1326" s="3" t="str">
        <f>TRIM(CLEAN(PROPER(tblClean[[#This Row],[Transaction Description]])))</f>
        <v>Remain Seven Marriage.</v>
      </c>
      <c r="D1326" s="1" t="s">
        <v>6</v>
      </c>
      <c r="E1326" s="3" t="str">
        <f>TRIM(CLEAN(PROPER(tblClean[[#This Row],[Category]])))</f>
        <v>Food &amp; Drink</v>
      </c>
      <c r="F1326" s="10" t="s">
        <v>2661</v>
      </c>
      <c r="G1326" s="1" t="s">
        <v>8</v>
      </c>
      <c r="H1326" s="15">
        <f>MONTH(tblClean[[#This Row],[Date]])</f>
        <v>6</v>
      </c>
      <c r="I1326" s="15">
        <f>YEAR(tblClean[[#This Row],[Date]])</f>
        <v>2024</v>
      </c>
    </row>
    <row r="1327" spans="1:9" x14ac:dyDescent="0.25">
      <c r="A1327" s="7">
        <v>45450</v>
      </c>
      <c r="B1327" s="2" t="s">
        <v>2662</v>
      </c>
      <c r="C1327" s="4" t="str">
        <f>TRIM(CLEAN(PROPER(tblClean[[#This Row],[Transaction Description]])))</f>
        <v>Positive Free Case.</v>
      </c>
      <c r="D1327" s="2" t="s">
        <v>16</v>
      </c>
      <c r="E1327" s="3" t="str">
        <f>TRIM(CLEAN(PROPER(tblClean[[#This Row],[Category]])))</f>
        <v>Investment</v>
      </c>
      <c r="F1327" s="11" t="s">
        <v>1416</v>
      </c>
      <c r="G1327" s="2" t="s">
        <v>18</v>
      </c>
      <c r="H1327" s="15">
        <f>MONTH(tblClean[[#This Row],[Date]])</f>
        <v>6</v>
      </c>
      <c r="I1327" s="15">
        <f>YEAR(tblClean[[#This Row],[Date]])</f>
        <v>2024</v>
      </c>
    </row>
    <row r="1328" spans="1:9" x14ac:dyDescent="0.25">
      <c r="A1328" s="6">
        <v>45452</v>
      </c>
      <c r="B1328" s="1" t="s">
        <v>2663</v>
      </c>
      <c r="C1328" s="3" t="str">
        <f>TRIM(CLEAN(PROPER(tblClean[[#This Row],[Transaction Description]])))</f>
        <v>Wide Shoulder According Strong.</v>
      </c>
      <c r="D1328" s="1" t="s">
        <v>27</v>
      </c>
      <c r="E1328" s="3" t="str">
        <f>TRIM(CLEAN(PROPER(tblClean[[#This Row],[Category]])))</f>
        <v>Other</v>
      </c>
      <c r="F1328" s="10" t="s">
        <v>2664</v>
      </c>
      <c r="G1328" s="1" t="s">
        <v>18</v>
      </c>
      <c r="H1328" s="15">
        <f>MONTH(tblClean[[#This Row],[Date]])</f>
        <v>6</v>
      </c>
      <c r="I1328" s="15">
        <f>YEAR(tblClean[[#This Row],[Date]])</f>
        <v>2024</v>
      </c>
    </row>
    <row r="1329" spans="1:9" x14ac:dyDescent="0.25">
      <c r="A1329" s="7">
        <v>45453</v>
      </c>
      <c r="B1329" s="2" t="s">
        <v>2665</v>
      </c>
      <c r="C1329" s="4" t="str">
        <f>TRIM(CLEAN(PROPER(tblClean[[#This Row],[Transaction Description]])))</f>
        <v>Expert Commercial Entire Resource.</v>
      </c>
      <c r="D1329" s="2" t="s">
        <v>16</v>
      </c>
      <c r="E1329" s="3" t="str">
        <f>TRIM(CLEAN(PROPER(tblClean[[#This Row],[Category]])))</f>
        <v>Investment</v>
      </c>
      <c r="F1329" s="11" t="s">
        <v>2666</v>
      </c>
      <c r="G1329" s="2" t="s">
        <v>18</v>
      </c>
      <c r="H1329" s="15">
        <f>MONTH(tblClean[[#This Row],[Date]])</f>
        <v>6</v>
      </c>
      <c r="I1329" s="15">
        <f>YEAR(tblClean[[#This Row],[Date]])</f>
        <v>2024</v>
      </c>
    </row>
    <row r="1330" spans="1:9" x14ac:dyDescent="0.25">
      <c r="A1330" s="6">
        <v>45455</v>
      </c>
      <c r="B1330" s="1" t="s">
        <v>2667</v>
      </c>
      <c r="C1330" s="3" t="str">
        <f>TRIM(CLEAN(PROPER(tblClean[[#This Row],[Transaction Description]])))</f>
        <v>Picture Early Send Morning.</v>
      </c>
      <c r="D1330" s="1" t="s">
        <v>13</v>
      </c>
      <c r="E1330" s="3" t="str">
        <f>TRIM(CLEAN(PROPER(tblClean[[#This Row],[Category]])))</f>
        <v>Rent</v>
      </c>
      <c r="F1330" s="10" t="s">
        <v>2668</v>
      </c>
      <c r="G1330" s="1" t="s">
        <v>8</v>
      </c>
      <c r="H1330" s="15">
        <f>MONTH(tblClean[[#This Row],[Date]])</f>
        <v>6</v>
      </c>
      <c r="I1330" s="15">
        <f>YEAR(tblClean[[#This Row],[Date]])</f>
        <v>2024</v>
      </c>
    </row>
    <row r="1331" spans="1:9" x14ac:dyDescent="0.25">
      <c r="A1331" s="7">
        <v>45456</v>
      </c>
      <c r="B1331" s="2" t="s">
        <v>2669</v>
      </c>
      <c r="C1331" s="4" t="str">
        <f>TRIM(CLEAN(PROPER(tblClean[[#This Row],[Transaction Description]])))</f>
        <v>Soon Including Important.</v>
      </c>
      <c r="D1331" s="2" t="s">
        <v>35</v>
      </c>
      <c r="E1331" s="3" t="str">
        <f>TRIM(CLEAN(PROPER(tblClean[[#This Row],[Category]])))</f>
        <v>Health &amp; Fitness</v>
      </c>
      <c r="F1331" s="11" t="s">
        <v>2670</v>
      </c>
      <c r="G1331" s="2" t="s">
        <v>8</v>
      </c>
      <c r="H1331" s="15">
        <f>MONTH(tblClean[[#This Row],[Date]])</f>
        <v>6</v>
      </c>
      <c r="I1331" s="15">
        <f>YEAR(tblClean[[#This Row],[Date]])</f>
        <v>2024</v>
      </c>
    </row>
    <row r="1332" spans="1:9" x14ac:dyDescent="0.25">
      <c r="A1332" s="6">
        <v>45456</v>
      </c>
      <c r="B1332" s="1" t="s">
        <v>2671</v>
      </c>
      <c r="C1332" s="3" t="str">
        <f>TRIM(CLEAN(PROPER(tblClean[[#This Row],[Transaction Description]])))</f>
        <v>Some Gun Ahead Certainly Act.</v>
      </c>
      <c r="D1332" s="1" t="s">
        <v>38</v>
      </c>
      <c r="E1332" s="3" t="str">
        <f>TRIM(CLEAN(PROPER(tblClean[[#This Row],[Category]])))</f>
        <v>Salary</v>
      </c>
      <c r="F1332" s="10" t="s">
        <v>2672</v>
      </c>
      <c r="G1332" s="1" t="s">
        <v>8</v>
      </c>
      <c r="H1332" s="15">
        <f>MONTH(tblClean[[#This Row],[Date]])</f>
        <v>6</v>
      </c>
      <c r="I1332" s="15">
        <f>YEAR(tblClean[[#This Row],[Date]])</f>
        <v>2024</v>
      </c>
    </row>
    <row r="1333" spans="1:9" x14ac:dyDescent="0.25">
      <c r="A1333" s="7">
        <v>45457</v>
      </c>
      <c r="B1333" s="2" t="s">
        <v>2673</v>
      </c>
      <c r="C1333" s="4" t="str">
        <f>TRIM(CLEAN(PROPER(tblClean[[#This Row],[Transaction Description]])))</f>
        <v>Be Fire.</v>
      </c>
      <c r="D1333" s="2" t="s">
        <v>22</v>
      </c>
      <c r="E1333" s="3" t="str">
        <f>TRIM(CLEAN(PROPER(tblClean[[#This Row],[Category]])))</f>
        <v>Shopping</v>
      </c>
      <c r="F1333" s="11" t="s">
        <v>2674</v>
      </c>
      <c r="G1333" s="2" t="s">
        <v>8</v>
      </c>
      <c r="H1333" s="15">
        <f>MONTH(tblClean[[#This Row],[Date]])</f>
        <v>6</v>
      </c>
      <c r="I1333" s="15">
        <f>YEAR(tblClean[[#This Row],[Date]])</f>
        <v>2024</v>
      </c>
    </row>
    <row r="1334" spans="1:9" x14ac:dyDescent="0.25">
      <c r="A1334" s="6">
        <v>45458</v>
      </c>
      <c r="B1334" s="1" t="s">
        <v>2675</v>
      </c>
      <c r="C1334" s="3" t="str">
        <f>TRIM(CLEAN(PROPER(tblClean[[#This Row],[Transaction Description]])))</f>
        <v>Article Service Produce Political.</v>
      </c>
      <c r="D1334" s="1" t="s">
        <v>16</v>
      </c>
      <c r="E1334" s="3" t="str">
        <f>TRIM(CLEAN(PROPER(tblClean[[#This Row],[Category]])))</f>
        <v>Investment</v>
      </c>
      <c r="F1334" s="10" t="s">
        <v>2676</v>
      </c>
      <c r="G1334" s="1" t="s">
        <v>18</v>
      </c>
      <c r="H1334" s="15">
        <f>MONTH(tblClean[[#This Row],[Date]])</f>
        <v>6</v>
      </c>
      <c r="I1334" s="15">
        <f>YEAR(tblClean[[#This Row],[Date]])</f>
        <v>2024</v>
      </c>
    </row>
    <row r="1335" spans="1:9" x14ac:dyDescent="0.25">
      <c r="A1335" s="7">
        <v>45459</v>
      </c>
      <c r="B1335" s="2" t="s">
        <v>2677</v>
      </c>
      <c r="C1335" s="4" t="str">
        <f>TRIM(CLEAN(PROPER(tblClean[[#This Row],[Transaction Description]])))</f>
        <v>Within Woman.</v>
      </c>
      <c r="D1335" s="2" t="s">
        <v>6</v>
      </c>
      <c r="E1335" s="3" t="str">
        <f>TRIM(CLEAN(PROPER(tblClean[[#This Row],[Category]])))</f>
        <v>Food &amp; Drink</v>
      </c>
      <c r="F1335" s="11" t="s">
        <v>2678</v>
      </c>
      <c r="G1335" s="2" t="s">
        <v>8</v>
      </c>
      <c r="H1335" s="15">
        <f>MONTH(tblClean[[#This Row],[Date]])</f>
        <v>6</v>
      </c>
      <c r="I1335" s="15">
        <f>YEAR(tblClean[[#This Row],[Date]])</f>
        <v>2024</v>
      </c>
    </row>
    <row r="1336" spans="1:9" x14ac:dyDescent="0.25">
      <c r="A1336" s="6">
        <v>45460</v>
      </c>
      <c r="B1336" s="1" t="s">
        <v>2679</v>
      </c>
      <c r="C1336" s="3" t="str">
        <f>TRIM(CLEAN(PROPER(tblClean[[#This Row],[Transaction Description]])))</f>
        <v>Information Though Red.</v>
      </c>
      <c r="D1336" s="1" t="s">
        <v>16</v>
      </c>
      <c r="E1336" s="3" t="str">
        <f>TRIM(CLEAN(PROPER(tblClean[[#This Row],[Category]])))</f>
        <v>Investment</v>
      </c>
      <c r="F1336" s="10" t="s">
        <v>2680</v>
      </c>
      <c r="G1336" s="1" t="s">
        <v>18</v>
      </c>
      <c r="H1336" s="15">
        <f>MONTH(tblClean[[#This Row],[Date]])</f>
        <v>6</v>
      </c>
      <c r="I1336" s="15">
        <f>YEAR(tblClean[[#This Row],[Date]])</f>
        <v>2024</v>
      </c>
    </row>
    <row r="1337" spans="1:9" x14ac:dyDescent="0.25">
      <c r="A1337" s="6">
        <v>45464</v>
      </c>
      <c r="B1337" s="1" t="s">
        <v>2683</v>
      </c>
      <c r="C1337" s="3" t="str">
        <f>TRIM(CLEAN(PROPER(tblClean[[#This Row],[Transaction Description]])))</f>
        <v>Land Day Name Small.</v>
      </c>
      <c r="D1337" s="1" t="s">
        <v>6</v>
      </c>
      <c r="E1337" s="3" t="str">
        <f>TRIM(CLEAN(PROPER(tblClean[[#This Row],[Category]])))</f>
        <v>Food &amp; Drink</v>
      </c>
      <c r="F1337" s="10" t="s">
        <v>2684</v>
      </c>
      <c r="G1337" s="1" t="s">
        <v>8</v>
      </c>
      <c r="H1337" s="15">
        <f>MONTH(tblClean[[#This Row],[Date]])</f>
        <v>6</v>
      </c>
      <c r="I1337" s="15">
        <f>YEAR(tblClean[[#This Row],[Date]])</f>
        <v>2024</v>
      </c>
    </row>
    <row r="1338" spans="1:9" x14ac:dyDescent="0.25">
      <c r="A1338" s="7">
        <v>45464</v>
      </c>
      <c r="B1338" s="2" t="s">
        <v>2681</v>
      </c>
      <c r="C1338" s="4" t="str">
        <f>TRIM(CLEAN(PROPER(tblClean[[#This Row],[Transaction Description]])))</f>
        <v>Training Account Evidence Month.</v>
      </c>
      <c r="D1338" s="2" t="s">
        <v>22</v>
      </c>
      <c r="E1338" s="3" t="str">
        <f>TRIM(CLEAN(PROPER(tblClean[[#This Row],[Category]])))</f>
        <v>Shopping</v>
      </c>
      <c r="F1338" s="11" t="s">
        <v>2682</v>
      </c>
      <c r="G1338" s="2" t="s">
        <v>8</v>
      </c>
      <c r="H1338" s="15">
        <f>MONTH(tblClean[[#This Row],[Date]])</f>
        <v>6</v>
      </c>
      <c r="I1338" s="15">
        <f>YEAR(tblClean[[#This Row],[Date]])</f>
        <v>2024</v>
      </c>
    </row>
    <row r="1339" spans="1:9" x14ac:dyDescent="0.25">
      <c r="A1339" s="7">
        <v>45465</v>
      </c>
      <c r="B1339" s="2" t="s">
        <v>2685</v>
      </c>
      <c r="C1339" s="4" t="str">
        <f>TRIM(CLEAN(PROPER(tblClean[[#This Row],[Transaction Description]])))</f>
        <v>Thought Sit Identify Culture.</v>
      </c>
      <c r="D1339" s="2" t="s">
        <v>53</v>
      </c>
      <c r="E1339" s="3" t="str">
        <f>TRIM(CLEAN(PROPER(tblClean[[#This Row],[Category]])))</f>
        <v>Travel</v>
      </c>
      <c r="F1339" s="11" t="s">
        <v>2686</v>
      </c>
      <c r="G1339" s="2" t="s">
        <v>8</v>
      </c>
      <c r="H1339" s="15">
        <f>MONTH(tblClean[[#This Row],[Date]])</f>
        <v>6</v>
      </c>
      <c r="I1339" s="15">
        <f>YEAR(tblClean[[#This Row],[Date]])</f>
        <v>2024</v>
      </c>
    </row>
    <row r="1340" spans="1:9" x14ac:dyDescent="0.25">
      <c r="A1340" s="7">
        <v>45466</v>
      </c>
      <c r="B1340" s="2" t="s">
        <v>2689</v>
      </c>
      <c r="C1340" s="4" t="str">
        <f>TRIM(CLEAN(PROPER(tblClean[[#This Row],[Transaction Description]])))</f>
        <v>Yeah Exist Behavior Necessary Miss.</v>
      </c>
      <c r="D1340" s="2" t="s">
        <v>27</v>
      </c>
      <c r="E1340" s="3" t="str">
        <f>TRIM(CLEAN(PROPER(tblClean[[#This Row],[Category]])))</f>
        <v>Other</v>
      </c>
      <c r="F1340" s="11" t="s">
        <v>2690</v>
      </c>
      <c r="G1340" s="2" t="s">
        <v>18</v>
      </c>
      <c r="H1340" s="15">
        <f>MONTH(tblClean[[#This Row],[Date]])</f>
        <v>6</v>
      </c>
      <c r="I1340" s="15">
        <f>YEAR(tblClean[[#This Row],[Date]])</f>
        <v>2024</v>
      </c>
    </row>
    <row r="1341" spans="1:9" x14ac:dyDescent="0.25">
      <c r="A1341" s="6">
        <v>45466</v>
      </c>
      <c r="B1341" s="1" t="s">
        <v>2687</v>
      </c>
      <c r="C1341" s="3" t="str">
        <f>TRIM(CLEAN(PROPER(tblClean[[#This Row],[Transaction Description]])))</f>
        <v>Already Free.</v>
      </c>
      <c r="D1341" s="1" t="s">
        <v>38</v>
      </c>
      <c r="E1341" s="3" t="str">
        <f>TRIM(CLEAN(PROPER(tblClean[[#This Row],[Category]])))</f>
        <v>Salary</v>
      </c>
      <c r="F1341" s="10" t="s">
        <v>2688</v>
      </c>
      <c r="G1341" s="1" t="s">
        <v>8</v>
      </c>
      <c r="H1341" s="15">
        <f>MONTH(tblClean[[#This Row],[Date]])</f>
        <v>6</v>
      </c>
      <c r="I1341" s="15">
        <f>YEAR(tblClean[[#This Row],[Date]])</f>
        <v>2024</v>
      </c>
    </row>
    <row r="1342" spans="1:9" x14ac:dyDescent="0.25">
      <c r="A1342" s="6">
        <v>45466</v>
      </c>
      <c r="B1342" s="1" t="s">
        <v>2695</v>
      </c>
      <c r="C1342" s="3" t="str">
        <f>TRIM(CLEAN(PROPER(tblClean[[#This Row],[Transaction Description]])))</f>
        <v>Rule Success.</v>
      </c>
      <c r="D1342" s="1" t="s">
        <v>38</v>
      </c>
      <c r="E1342" s="3" t="str">
        <f>TRIM(CLEAN(PROPER(tblClean[[#This Row],[Category]])))</f>
        <v>Salary</v>
      </c>
      <c r="F1342" s="10" t="s">
        <v>2696</v>
      </c>
      <c r="G1342" s="1" t="s">
        <v>8</v>
      </c>
      <c r="H1342" s="15">
        <f>MONTH(tblClean[[#This Row],[Date]])</f>
        <v>6</v>
      </c>
      <c r="I1342" s="15">
        <f>YEAR(tblClean[[#This Row],[Date]])</f>
        <v>2024</v>
      </c>
    </row>
    <row r="1343" spans="1:9" x14ac:dyDescent="0.25">
      <c r="A1343" s="6">
        <v>45466</v>
      </c>
      <c r="B1343" s="1" t="s">
        <v>2691</v>
      </c>
      <c r="C1343" s="3" t="str">
        <f>TRIM(CLEAN(PROPER(tblClean[[#This Row],[Transaction Description]])))</f>
        <v>Agreement Someone.</v>
      </c>
      <c r="D1343" s="1" t="s">
        <v>10</v>
      </c>
      <c r="E1343" s="3" t="str">
        <f>TRIM(CLEAN(PROPER(tblClean[[#This Row],[Category]])))</f>
        <v>Utilities</v>
      </c>
      <c r="F1343" s="10" t="s">
        <v>2692</v>
      </c>
      <c r="G1343" s="1" t="s">
        <v>8</v>
      </c>
      <c r="H1343" s="15">
        <f>MONTH(tblClean[[#This Row],[Date]])</f>
        <v>6</v>
      </c>
      <c r="I1343" s="15">
        <f>YEAR(tblClean[[#This Row],[Date]])</f>
        <v>2024</v>
      </c>
    </row>
    <row r="1344" spans="1:9" x14ac:dyDescent="0.25">
      <c r="A1344" s="7">
        <v>45466</v>
      </c>
      <c r="B1344" s="2" t="s">
        <v>2693</v>
      </c>
      <c r="C1344" s="4" t="str">
        <f>TRIM(CLEAN(PROPER(tblClean[[#This Row],[Transaction Description]])))</f>
        <v>Strategy Fight Institution.</v>
      </c>
      <c r="D1344" s="2" t="s">
        <v>10</v>
      </c>
      <c r="E1344" s="3" t="str">
        <f>TRIM(CLEAN(PROPER(tblClean[[#This Row],[Category]])))</f>
        <v>Utilities</v>
      </c>
      <c r="F1344" s="11" t="s">
        <v>2694</v>
      </c>
      <c r="G1344" s="2" t="s">
        <v>8</v>
      </c>
      <c r="H1344" s="15">
        <f>MONTH(tblClean[[#This Row],[Date]])</f>
        <v>6</v>
      </c>
      <c r="I1344" s="15">
        <f>YEAR(tblClean[[#This Row],[Date]])</f>
        <v>2024</v>
      </c>
    </row>
    <row r="1345" spans="1:9" x14ac:dyDescent="0.25">
      <c r="A1345" s="7">
        <v>45474</v>
      </c>
      <c r="B1345" s="2" t="s">
        <v>2697</v>
      </c>
      <c r="C1345" s="4" t="str">
        <f>TRIM(CLEAN(PROPER(tblClean[[#This Row],[Transaction Description]])))</f>
        <v>Medical Buy Series Walk Large.</v>
      </c>
      <c r="D1345" s="2" t="s">
        <v>27</v>
      </c>
      <c r="E1345" s="3" t="str">
        <f>TRIM(CLEAN(PROPER(tblClean[[#This Row],[Category]])))</f>
        <v>Other</v>
      </c>
      <c r="F1345" s="11" t="s">
        <v>2698</v>
      </c>
      <c r="G1345" s="2" t="s">
        <v>18</v>
      </c>
      <c r="H1345" s="15">
        <f>MONTH(tblClean[[#This Row],[Date]])</f>
        <v>7</v>
      </c>
      <c r="I1345" s="15">
        <f>YEAR(tblClean[[#This Row],[Date]])</f>
        <v>2024</v>
      </c>
    </row>
    <row r="1346" spans="1:9" x14ac:dyDescent="0.25">
      <c r="A1346" s="6">
        <v>45478</v>
      </c>
      <c r="B1346" s="1" t="s">
        <v>2699</v>
      </c>
      <c r="C1346" s="3" t="str">
        <f>TRIM(CLEAN(PROPER(tblClean[[#This Row],[Transaction Description]])))</f>
        <v>Law Work.</v>
      </c>
      <c r="D1346" s="1" t="s">
        <v>16</v>
      </c>
      <c r="E1346" s="3" t="str">
        <f>TRIM(CLEAN(PROPER(tblClean[[#This Row],[Category]])))</f>
        <v>Investment</v>
      </c>
      <c r="F1346" s="10" t="s">
        <v>1732</v>
      </c>
      <c r="G1346" s="1" t="s">
        <v>18</v>
      </c>
      <c r="H1346" s="15">
        <f>MONTH(tblClean[[#This Row],[Date]])</f>
        <v>7</v>
      </c>
      <c r="I1346" s="15">
        <f>YEAR(tblClean[[#This Row],[Date]])</f>
        <v>2024</v>
      </c>
    </row>
    <row r="1347" spans="1:9" x14ac:dyDescent="0.25">
      <c r="A1347" s="7">
        <v>45479</v>
      </c>
      <c r="B1347" s="2" t="s">
        <v>2700</v>
      </c>
      <c r="C1347" s="4" t="str">
        <f>TRIM(CLEAN(PROPER(tblClean[[#This Row],[Transaction Description]])))</f>
        <v>Research Visit Program Suddenly Doctor.</v>
      </c>
      <c r="D1347" s="2" t="s">
        <v>22</v>
      </c>
      <c r="E1347" s="3" t="str">
        <f>TRIM(CLEAN(PROPER(tblClean[[#This Row],[Category]])))</f>
        <v>Shopping</v>
      </c>
      <c r="F1347" s="11" t="s">
        <v>2701</v>
      </c>
      <c r="G1347" s="2" t="s">
        <v>8</v>
      </c>
      <c r="H1347" s="15">
        <f>MONTH(tblClean[[#This Row],[Date]])</f>
        <v>7</v>
      </c>
      <c r="I1347" s="15">
        <f>YEAR(tblClean[[#This Row],[Date]])</f>
        <v>2024</v>
      </c>
    </row>
    <row r="1348" spans="1:9" x14ac:dyDescent="0.25">
      <c r="A1348" s="7">
        <v>45480</v>
      </c>
      <c r="B1348" s="2" t="s">
        <v>2704</v>
      </c>
      <c r="C1348" s="4" t="str">
        <f>TRIM(CLEAN(PROPER(tblClean[[#This Row],[Transaction Description]])))</f>
        <v>Mind Easy Foreign Old.</v>
      </c>
      <c r="D1348" s="2" t="s">
        <v>6</v>
      </c>
      <c r="E1348" s="3" t="str">
        <f>TRIM(CLEAN(PROPER(tblClean[[#This Row],[Category]])))</f>
        <v>Food &amp; Drink</v>
      </c>
      <c r="F1348" s="11" t="s">
        <v>2705</v>
      </c>
      <c r="G1348" s="2" t="s">
        <v>8</v>
      </c>
      <c r="H1348" s="15">
        <f>MONTH(tblClean[[#This Row],[Date]])</f>
        <v>7</v>
      </c>
      <c r="I1348" s="15">
        <f>YEAR(tblClean[[#This Row],[Date]])</f>
        <v>2024</v>
      </c>
    </row>
    <row r="1349" spans="1:9" x14ac:dyDescent="0.25">
      <c r="A1349" s="7">
        <v>45480</v>
      </c>
      <c r="B1349" s="2" t="s">
        <v>2708</v>
      </c>
      <c r="C1349" s="4" t="str">
        <f>TRIM(CLEAN(PROPER(tblClean[[#This Row],[Transaction Description]])))</f>
        <v>Thousand Live Land Hard.</v>
      </c>
      <c r="D1349" s="2" t="s">
        <v>6</v>
      </c>
      <c r="E1349" s="3" t="str">
        <f>TRIM(CLEAN(PROPER(tblClean[[#This Row],[Category]])))</f>
        <v>Food &amp; Drink</v>
      </c>
      <c r="F1349" s="11" t="s">
        <v>2709</v>
      </c>
      <c r="G1349" s="2" t="s">
        <v>8</v>
      </c>
      <c r="H1349" s="15">
        <f>MONTH(tblClean[[#This Row],[Date]])</f>
        <v>7</v>
      </c>
      <c r="I1349" s="15">
        <f>YEAR(tblClean[[#This Row],[Date]])</f>
        <v>2024</v>
      </c>
    </row>
    <row r="1350" spans="1:9" x14ac:dyDescent="0.25">
      <c r="A1350" s="6">
        <v>45480</v>
      </c>
      <c r="B1350" s="1" t="s">
        <v>2706</v>
      </c>
      <c r="C1350" s="3" t="str">
        <f>TRIM(CLEAN(PROPER(tblClean[[#This Row],[Transaction Description]])))</f>
        <v>Better Republican Stock Bank.</v>
      </c>
      <c r="D1350" s="1" t="s">
        <v>13</v>
      </c>
      <c r="E1350" s="3" t="str">
        <f>TRIM(CLEAN(PROPER(tblClean[[#This Row],[Category]])))</f>
        <v>Rent</v>
      </c>
      <c r="F1350" s="10" t="s">
        <v>2707</v>
      </c>
      <c r="G1350" s="1" t="s">
        <v>8</v>
      </c>
      <c r="H1350" s="15">
        <f>MONTH(tblClean[[#This Row],[Date]])</f>
        <v>7</v>
      </c>
      <c r="I1350" s="15">
        <f>YEAR(tblClean[[#This Row],[Date]])</f>
        <v>2024</v>
      </c>
    </row>
    <row r="1351" spans="1:9" x14ac:dyDescent="0.25">
      <c r="A1351" s="6">
        <v>45480</v>
      </c>
      <c r="B1351" s="1" t="s">
        <v>2702</v>
      </c>
      <c r="C1351" s="3" t="str">
        <f>TRIM(CLEAN(PROPER(tblClean[[#This Row],[Transaction Description]])))</f>
        <v>Project Spring Of.</v>
      </c>
      <c r="D1351" s="1" t="s">
        <v>10</v>
      </c>
      <c r="E1351" s="3" t="str">
        <f>TRIM(CLEAN(PROPER(tblClean[[#This Row],[Category]])))</f>
        <v>Utilities</v>
      </c>
      <c r="F1351" s="10" t="s">
        <v>2703</v>
      </c>
      <c r="G1351" s="1" t="s">
        <v>8</v>
      </c>
      <c r="H1351" s="15">
        <f>MONTH(tblClean[[#This Row],[Date]])</f>
        <v>7</v>
      </c>
      <c r="I1351" s="15">
        <f>YEAR(tblClean[[#This Row],[Date]])</f>
        <v>2024</v>
      </c>
    </row>
    <row r="1352" spans="1:9" x14ac:dyDescent="0.25">
      <c r="A1352" s="7">
        <v>45486</v>
      </c>
      <c r="B1352" s="2" t="s">
        <v>2712</v>
      </c>
      <c r="C1352" s="4" t="str">
        <f>TRIM(CLEAN(PROPER(tblClean[[#This Row],[Transaction Description]])))</f>
        <v>You Ready Way Rule.</v>
      </c>
      <c r="D1352" s="2" t="s">
        <v>6</v>
      </c>
      <c r="E1352" s="3" t="str">
        <f>TRIM(CLEAN(PROPER(tblClean[[#This Row],[Category]])))</f>
        <v>Food &amp; Drink</v>
      </c>
      <c r="F1352" s="11" t="s">
        <v>2713</v>
      </c>
      <c r="G1352" s="2" t="s">
        <v>8</v>
      </c>
      <c r="H1352" s="15">
        <f>MONTH(tblClean[[#This Row],[Date]])</f>
        <v>7</v>
      </c>
      <c r="I1352" s="15">
        <f>YEAR(tblClean[[#This Row],[Date]])</f>
        <v>2024</v>
      </c>
    </row>
    <row r="1353" spans="1:9" x14ac:dyDescent="0.25">
      <c r="A1353" s="6">
        <v>45486</v>
      </c>
      <c r="B1353" s="1" t="s">
        <v>2710</v>
      </c>
      <c r="C1353" s="3" t="str">
        <f>TRIM(CLEAN(PROPER(tblClean[[#This Row],[Transaction Description]])))</f>
        <v>Open Million House Enough.</v>
      </c>
      <c r="D1353" s="1" t="s">
        <v>22</v>
      </c>
      <c r="E1353" s="3" t="str">
        <f>TRIM(CLEAN(PROPER(tblClean[[#This Row],[Category]])))</f>
        <v>Shopping</v>
      </c>
      <c r="F1353" s="10" t="s">
        <v>2711</v>
      </c>
      <c r="G1353" s="1" t="s">
        <v>8</v>
      </c>
      <c r="H1353" s="15">
        <f>MONTH(tblClean[[#This Row],[Date]])</f>
        <v>7</v>
      </c>
      <c r="I1353" s="15">
        <f>YEAR(tblClean[[#This Row],[Date]])</f>
        <v>2024</v>
      </c>
    </row>
    <row r="1354" spans="1:9" x14ac:dyDescent="0.25">
      <c r="A1354" s="6">
        <v>45489</v>
      </c>
      <c r="B1354" s="1" t="s">
        <v>2714</v>
      </c>
      <c r="C1354" s="3" t="str">
        <f>TRIM(CLEAN(PROPER(tblClean[[#This Row],[Transaction Description]])))</f>
        <v>Certain Camera Represent.</v>
      </c>
      <c r="D1354" s="1" t="s">
        <v>38</v>
      </c>
      <c r="E1354" s="3" t="str">
        <f>TRIM(CLEAN(PROPER(tblClean[[#This Row],[Category]])))</f>
        <v>Salary</v>
      </c>
      <c r="F1354" s="10" t="s">
        <v>2715</v>
      </c>
      <c r="G1354" s="1" t="s">
        <v>8</v>
      </c>
      <c r="H1354" s="15">
        <f>MONTH(tblClean[[#This Row],[Date]])</f>
        <v>7</v>
      </c>
      <c r="I1354" s="15">
        <f>YEAR(tblClean[[#This Row],[Date]])</f>
        <v>2024</v>
      </c>
    </row>
    <row r="1355" spans="1:9" x14ac:dyDescent="0.25">
      <c r="A1355" s="7">
        <v>45493</v>
      </c>
      <c r="B1355" s="2" t="s">
        <v>2716</v>
      </c>
      <c r="C1355" s="4" t="str">
        <f>TRIM(CLEAN(PROPER(tblClean[[#This Row],[Transaction Description]])))</f>
        <v>Tell Brother Defense List Second.</v>
      </c>
      <c r="D1355" s="2" t="s">
        <v>13</v>
      </c>
      <c r="E1355" s="3" t="str">
        <f>TRIM(CLEAN(PROPER(tblClean[[#This Row],[Category]])))</f>
        <v>Rent</v>
      </c>
      <c r="F1355" s="11" t="s">
        <v>2717</v>
      </c>
      <c r="G1355" s="2" t="s">
        <v>8</v>
      </c>
      <c r="H1355" s="15">
        <f>MONTH(tblClean[[#This Row],[Date]])</f>
        <v>7</v>
      </c>
      <c r="I1355" s="15">
        <f>YEAR(tblClean[[#This Row],[Date]])</f>
        <v>2024</v>
      </c>
    </row>
    <row r="1356" spans="1:9" x14ac:dyDescent="0.25">
      <c r="A1356" s="6">
        <v>45494</v>
      </c>
      <c r="B1356" s="1" t="s">
        <v>2718</v>
      </c>
      <c r="C1356" s="3" t="str">
        <f>TRIM(CLEAN(PROPER(tblClean[[#This Row],[Transaction Description]])))</f>
        <v>Tv Budget System Book.</v>
      </c>
      <c r="D1356" s="1" t="s">
        <v>30</v>
      </c>
      <c r="E1356" s="3" t="str">
        <f>TRIM(CLEAN(PROPER(tblClean[[#This Row],[Category]])))</f>
        <v>Entertainment</v>
      </c>
      <c r="F1356" s="10" t="s">
        <v>2719</v>
      </c>
      <c r="G1356" s="1" t="s">
        <v>8</v>
      </c>
      <c r="H1356" s="15">
        <f>MONTH(tblClean[[#This Row],[Date]])</f>
        <v>7</v>
      </c>
      <c r="I1356" s="15">
        <f>YEAR(tblClean[[#This Row],[Date]])</f>
        <v>2024</v>
      </c>
    </row>
    <row r="1357" spans="1:9" x14ac:dyDescent="0.25">
      <c r="A1357" s="7">
        <v>45495</v>
      </c>
      <c r="B1357" s="2" t="s">
        <v>2720</v>
      </c>
      <c r="C1357" s="4" t="str">
        <f>TRIM(CLEAN(PROPER(tblClean[[#This Row],[Transaction Description]])))</f>
        <v>Face Mission Brother Figure Hear.</v>
      </c>
      <c r="D1357" s="2" t="s">
        <v>27</v>
      </c>
      <c r="E1357" s="3" t="str">
        <f>TRIM(CLEAN(PROPER(tblClean[[#This Row],[Category]])))</f>
        <v>Other</v>
      </c>
      <c r="F1357" s="11" t="s">
        <v>2721</v>
      </c>
      <c r="G1357" s="2" t="s">
        <v>18</v>
      </c>
      <c r="H1357" s="15">
        <f>MONTH(tblClean[[#This Row],[Date]])</f>
        <v>7</v>
      </c>
      <c r="I1357" s="15">
        <f>YEAR(tblClean[[#This Row],[Date]])</f>
        <v>2024</v>
      </c>
    </row>
    <row r="1358" spans="1:9" x14ac:dyDescent="0.25">
      <c r="A1358" s="6">
        <v>45496</v>
      </c>
      <c r="B1358" s="1" t="s">
        <v>2722</v>
      </c>
      <c r="C1358" s="3" t="str">
        <f>TRIM(CLEAN(PROPER(tblClean[[#This Row],[Transaction Description]])))</f>
        <v>Agreement Central Six Instead.</v>
      </c>
      <c r="D1358" s="1" t="s">
        <v>16</v>
      </c>
      <c r="E1358" s="3" t="str">
        <f>TRIM(CLEAN(PROPER(tblClean[[#This Row],[Category]])))</f>
        <v>Investment</v>
      </c>
      <c r="F1358" s="10" t="s">
        <v>2723</v>
      </c>
      <c r="G1358" s="1" t="s">
        <v>18</v>
      </c>
      <c r="H1358" s="15">
        <f>MONTH(tblClean[[#This Row],[Date]])</f>
        <v>7</v>
      </c>
      <c r="I1358" s="15">
        <f>YEAR(tblClean[[#This Row],[Date]])</f>
        <v>2024</v>
      </c>
    </row>
    <row r="1359" spans="1:9" x14ac:dyDescent="0.25">
      <c r="A1359" s="7">
        <v>45496</v>
      </c>
      <c r="B1359" s="2" t="s">
        <v>2724</v>
      </c>
      <c r="C1359" s="4" t="str">
        <f>TRIM(CLEAN(PROPER(tblClean[[#This Row],[Transaction Description]])))</f>
        <v>Democratic Standard Major.</v>
      </c>
      <c r="D1359" s="2" t="s">
        <v>16</v>
      </c>
      <c r="E1359" s="3" t="str">
        <f>TRIM(CLEAN(PROPER(tblClean[[#This Row],[Category]])))</f>
        <v>Investment</v>
      </c>
      <c r="F1359" s="11" t="s">
        <v>2725</v>
      </c>
      <c r="G1359" s="2" t="s">
        <v>18</v>
      </c>
      <c r="H1359" s="15">
        <f>MONTH(tblClean[[#This Row],[Date]])</f>
        <v>7</v>
      </c>
      <c r="I1359" s="15">
        <f>YEAR(tblClean[[#This Row],[Date]])</f>
        <v>2024</v>
      </c>
    </row>
    <row r="1360" spans="1:9" x14ac:dyDescent="0.25">
      <c r="A1360" s="6">
        <v>45498</v>
      </c>
      <c r="B1360" s="1" t="s">
        <v>2726</v>
      </c>
      <c r="C1360" s="3" t="str">
        <f>TRIM(CLEAN(PROPER(tblClean[[#This Row],[Transaction Description]])))</f>
        <v>Give That Individual Of Not.</v>
      </c>
      <c r="D1360" s="1" t="s">
        <v>35</v>
      </c>
      <c r="E1360" s="3" t="str">
        <f>TRIM(CLEAN(PROPER(tblClean[[#This Row],[Category]])))</f>
        <v>Health &amp; Fitness</v>
      </c>
      <c r="F1360" s="10" t="s">
        <v>2727</v>
      </c>
      <c r="G1360" s="1" t="s">
        <v>8</v>
      </c>
      <c r="H1360" s="15">
        <f>MONTH(tblClean[[#This Row],[Date]])</f>
        <v>7</v>
      </c>
      <c r="I1360" s="15">
        <f>YEAR(tblClean[[#This Row],[Date]])</f>
        <v>2024</v>
      </c>
    </row>
    <row r="1361" spans="1:9" x14ac:dyDescent="0.25">
      <c r="A1361" s="7">
        <v>45499</v>
      </c>
      <c r="B1361" s="2" t="s">
        <v>2728</v>
      </c>
      <c r="C1361" s="4" t="str">
        <f>TRIM(CLEAN(PROPER(tblClean[[#This Row],[Transaction Description]])))</f>
        <v>Little Result Paper Seven.</v>
      </c>
      <c r="D1361" s="2" t="s">
        <v>27</v>
      </c>
      <c r="E1361" s="3" t="str">
        <f>TRIM(CLEAN(PROPER(tblClean[[#This Row],[Category]])))</f>
        <v>Other</v>
      </c>
      <c r="F1361" s="11" t="s">
        <v>2729</v>
      </c>
      <c r="G1361" s="2" t="s">
        <v>18</v>
      </c>
      <c r="H1361" s="15">
        <f>MONTH(tblClean[[#This Row],[Date]])</f>
        <v>7</v>
      </c>
      <c r="I1361" s="15">
        <f>YEAR(tblClean[[#This Row],[Date]])</f>
        <v>2024</v>
      </c>
    </row>
    <row r="1362" spans="1:9" x14ac:dyDescent="0.25">
      <c r="A1362" s="6">
        <v>45499</v>
      </c>
      <c r="B1362" s="1" t="s">
        <v>2734</v>
      </c>
      <c r="C1362" s="3" t="str">
        <f>TRIM(CLEAN(PROPER(tblClean[[#This Row],[Transaction Description]])))</f>
        <v>Position Tend Religious.</v>
      </c>
      <c r="D1362" s="1" t="s">
        <v>38</v>
      </c>
      <c r="E1362" s="3" t="str">
        <f>TRIM(CLEAN(PROPER(tblClean[[#This Row],[Category]])))</f>
        <v>Salary</v>
      </c>
      <c r="F1362" s="10" t="s">
        <v>2735</v>
      </c>
      <c r="G1362" s="1" t="s">
        <v>8</v>
      </c>
      <c r="H1362" s="15">
        <f>MONTH(tblClean[[#This Row],[Date]])</f>
        <v>7</v>
      </c>
      <c r="I1362" s="15">
        <f>YEAR(tblClean[[#This Row],[Date]])</f>
        <v>2024</v>
      </c>
    </row>
    <row r="1363" spans="1:9" x14ac:dyDescent="0.25">
      <c r="A1363" s="6">
        <v>45499</v>
      </c>
      <c r="B1363" s="1" t="s">
        <v>2730</v>
      </c>
      <c r="C1363" s="3" t="str">
        <f>TRIM(CLEAN(PROPER(tblClean[[#This Row],[Transaction Description]])))</f>
        <v>Seven Project Chance Road.</v>
      </c>
      <c r="D1363" s="1" t="s">
        <v>22</v>
      </c>
      <c r="E1363" s="3" t="str">
        <f>TRIM(CLEAN(PROPER(tblClean[[#This Row],[Category]])))</f>
        <v>Shopping</v>
      </c>
      <c r="F1363" s="10" t="s">
        <v>2731</v>
      </c>
      <c r="G1363" s="1" t="s">
        <v>8</v>
      </c>
      <c r="H1363" s="15">
        <f>MONTH(tblClean[[#This Row],[Date]])</f>
        <v>7</v>
      </c>
      <c r="I1363" s="15">
        <f>YEAR(tblClean[[#This Row],[Date]])</f>
        <v>2024</v>
      </c>
    </row>
    <row r="1364" spans="1:9" x14ac:dyDescent="0.25">
      <c r="A1364" s="7">
        <v>45499</v>
      </c>
      <c r="B1364" s="2" t="s">
        <v>2732</v>
      </c>
      <c r="C1364" s="4" t="str">
        <f>TRIM(CLEAN(PROPER(tblClean[[#This Row],[Transaction Description]])))</f>
        <v>Professor Important Do House Must.</v>
      </c>
      <c r="D1364" s="2" t="s">
        <v>22</v>
      </c>
      <c r="E1364" s="3" t="str">
        <f>TRIM(CLEAN(PROPER(tblClean[[#This Row],[Category]])))</f>
        <v>Shopping</v>
      </c>
      <c r="F1364" s="11" t="s">
        <v>2733</v>
      </c>
      <c r="G1364" s="2" t="s">
        <v>8</v>
      </c>
      <c r="H1364" s="15">
        <f>MONTH(tblClean[[#This Row],[Date]])</f>
        <v>7</v>
      </c>
      <c r="I1364" s="15">
        <f>YEAR(tblClean[[#This Row],[Date]])</f>
        <v>2024</v>
      </c>
    </row>
    <row r="1365" spans="1:9" x14ac:dyDescent="0.25">
      <c r="A1365" s="6">
        <v>45500</v>
      </c>
      <c r="B1365" s="1" t="s">
        <v>2738</v>
      </c>
      <c r="C1365" s="3" t="str">
        <f>TRIM(CLEAN(PROPER(tblClean[[#This Row],[Transaction Description]])))</f>
        <v>My Serious Whatever Miss Seek.</v>
      </c>
      <c r="D1365" s="1" t="s">
        <v>35</v>
      </c>
      <c r="E1365" s="3" t="str">
        <f>TRIM(CLEAN(PROPER(tblClean[[#This Row],[Category]])))</f>
        <v>Health &amp; Fitness</v>
      </c>
      <c r="F1365" s="10" t="s">
        <v>2739</v>
      </c>
      <c r="G1365" s="1" t="s">
        <v>8</v>
      </c>
      <c r="H1365" s="15">
        <f>MONTH(tblClean[[#This Row],[Date]])</f>
        <v>7</v>
      </c>
      <c r="I1365" s="15">
        <f>YEAR(tblClean[[#This Row],[Date]])</f>
        <v>2024</v>
      </c>
    </row>
    <row r="1366" spans="1:9" x14ac:dyDescent="0.25">
      <c r="A1366" s="7">
        <v>45500</v>
      </c>
      <c r="B1366" s="2" t="s">
        <v>2736</v>
      </c>
      <c r="C1366" s="4" t="str">
        <f>TRIM(CLEAN(PROPER(tblClean[[#This Row],[Transaction Description]])))</f>
        <v>Someone Religious Night Buy Nice.</v>
      </c>
      <c r="D1366" s="2" t="s">
        <v>38</v>
      </c>
      <c r="E1366" s="3" t="str">
        <f>TRIM(CLEAN(PROPER(tblClean[[#This Row],[Category]])))</f>
        <v>Salary</v>
      </c>
      <c r="F1366" s="11" t="s">
        <v>2737</v>
      </c>
      <c r="G1366" s="2" t="s">
        <v>8</v>
      </c>
      <c r="H1366" s="15">
        <f>MONTH(tblClean[[#This Row],[Date]])</f>
        <v>7</v>
      </c>
      <c r="I1366" s="15">
        <f>YEAR(tblClean[[#This Row],[Date]])</f>
        <v>2024</v>
      </c>
    </row>
    <row r="1367" spans="1:9" x14ac:dyDescent="0.25">
      <c r="A1367" s="7">
        <v>45500</v>
      </c>
      <c r="B1367" s="2" t="s">
        <v>2740</v>
      </c>
      <c r="C1367" s="4" t="str">
        <f>TRIM(CLEAN(PROPER(tblClean[[#This Row],[Transaction Description]])))</f>
        <v>Build View.</v>
      </c>
      <c r="D1367" s="2" t="s">
        <v>10</v>
      </c>
      <c r="E1367" s="3" t="str">
        <f>TRIM(CLEAN(PROPER(tblClean[[#This Row],[Category]])))</f>
        <v>Utilities</v>
      </c>
      <c r="F1367" s="11" t="s">
        <v>2741</v>
      </c>
      <c r="G1367" s="2" t="s">
        <v>8</v>
      </c>
      <c r="H1367" s="15">
        <f>MONTH(tblClean[[#This Row],[Date]])</f>
        <v>7</v>
      </c>
      <c r="I1367" s="15">
        <f>YEAR(tblClean[[#This Row],[Date]])</f>
        <v>2024</v>
      </c>
    </row>
    <row r="1368" spans="1:9" x14ac:dyDescent="0.25">
      <c r="A1368" s="6">
        <v>45501</v>
      </c>
      <c r="B1368" s="1" t="s">
        <v>2742</v>
      </c>
      <c r="C1368" s="3" t="str">
        <f>TRIM(CLEAN(PROPER(tblClean[[#This Row],[Transaction Description]])))</f>
        <v>Ever Day.</v>
      </c>
      <c r="D1368" s="1" t="s">
        <v>30</v>
      </c>
      <c r="E1368" s="3" t="str">
        <f>TRIM(CLEAN(PROPER(tblClean[[#This Row],[Category]])))</f>
        <v>Entertainment</v>
      </c>
      <c r="F1368" s="10" t="s">
        <v>2743</v>
      </c>
      <c r="G1368" s="1" t="s">
        <v>8</v>
      </c>
      <c r="H1368" s="15">
        <f>MONTH(tblClean[[#This Row],[Date]])</f>
        <v>7</v>
      </c>
      <c r="I1368" s="15">
        <f>YEAR(tblClean[[#This Row],[Date]])</f>
        <v>2024</v>
      </c>
    </row>
    <row r="1369" spans="1:9" x14ac:dyDescent="0.25">
      <c r="A1369" s="7">
        <v>45501</v>
      </c>
      <c r="B1369" s="2" t="s">
        <v>2744</v>
      </c>
      <c r="C1369" s="4" t="str">
        <f>TRIM(CLEAN(PROPER(tblClean[[#This Row],[Transaction Description]])))</f>
        <v>Be Move Fly Open.</v>
      </c>
      <c r="D1369" s="2" t="s">
        <v>10</v>
      </c>
      <c r="E1369" s="3" t="str">
        <f>TRIM(CLEAN(PROPER(tblClean[[#This Row],[Category]])))</f>
        <v>Utilities</v>
      </c>
      <c r="F1369" s="11" t="s">
        <v>2745</v>
      </c>
      <c r="G1369" s="2" t="s">
        <v>8</v>
      </c>
      <c r="H1369" s="15">
        <f>MONTH(tblClean[[#This Row],[Date]])</f>
        <v>7</v>
      </c>
      <c r="I1369" s="15">
        <f>YEAR(tblClean[[#This Row],[Date]])</f>
        <v>2024</v>
      </c>
    </row>
    <row r="1370" spans="1:9" x14ac:dyDescent="0.25">
      <c r="A1370" s="7">
        <v>45502</v>
      </c>
      <c r="B1370" s="2" t="s">
        <v>2748</v>
      </c>
      <c r="C1370" s="4" t="str">
        <f>TRIM(CLEAN(PROPER(tblClean[[#This Row],[Transaction Description]])))</f>
        <v>Fish Either Boy Between Collection.</v>
      </c>
      <c r="D1370" s="2" t="s">
        <v>6</v>
      </c>
      <c r="E1370" s="3" t="str">
        <f>TRIM(CLEAN(PROPER(tblClean[[#This Row],[Category]])))</f>
        <v>Food &amp; Drink</v>
      </c>
      <c r="F1370" s="11" t="s">
        <v>2749</v>
      </c>
      <c r="G1370" s="2" t="s">
        <v>8</v>
      </c>
      <c r="H1370" s="15">
        <f>MONTH(tblClean[[#This Row],[Date]])</f>
        <v>7</v>
      </c>
      <c r="I1370" s="15">
        <f>YEAR(tblClean[[#This Row],[Date]])</f>
        <v>2024</v>
      </c>
    </row>
    <row r="1371" spans="1:9" x14ac:dyDescent="0.25">
      <c r="A1371" s="6">
        <v>45502</v>
      </c>
      <c r="B1371" s="1" t="s">
        <v>2750</v>
      </c>
      <c r="C1371" s="3" t="str">
        <f>TRIM(CLEAN(PROPER(tblClean[[#This Row],[Transaction Description]])))</f>
        <v>Eight Bed Fill.</v>
      </c>
      <c r="D1371" s="1" t="s">
        <v>6</v>
      </c>
      <c r="E1371" s="3" t="str">
        <f>TRIM(CLEAN(PROPER(tblClean[[#This Row],[Category]])))</f>
        <v>Food &amp; Drink</v>
      </c>
      <c r="F1371" s="10" t="s">
        <v>2751</v>
      </c>
      <c r="G1371" s="1" t="s">
        <v>8</v>
      </c>
      <c r="H1371" s="15">
        <f>MONTH(tblClean[[#This Row],[Date]])</f>
        <v>7</v>
      </c>
      <c r="I1371" s="15">
        <f>YEAR(tblClean[[#This Row],[Date]])</f>
        <v>2024</v>
      </c>
    </row>
    <row r="1372" spans="1:9" x14ac:dyDescent="0.25">
      <c r="A1372" s="6">
        <v>45502</v>
      </c>
      <c r="B1372" s="1" t="s">
        <v>2746</v>
      </c>
      <c r="C1372" s="3" t="str">
        <f>TRIM(CLEAN(PROPER(tblClean[[#This Row],[Transaction Description]])))</f>
        <v>Future Congress.</v>
      </c>
      <c r="D1372" s="1" t="s">
        <v>35</v>
      </c>
      <c r="E1372" s="3" t="str">
        <f>TRIM(CLEAN(PROPER(tblClean[[#This Row],[Category]])))</f>
        <v>Health &amp; Fitness</v>
      </c>
      <c r="F1372" s="10" t="s">
        <v>2747</v>
      </c>
      <c r="G1372" s="1" t="s">
        <v>8</v>
      </c>
      <c r="H1372" s="15">
        <f>MONTH(tblClean[[#This Row],[Date]])</f>
        <v>7</v>
      </c>
      <c r="I1372" s="15">
        <f>YEAR(tblClean[[#This Row],[Date]])</f>
        <v>2024</v>
      </c>
    </row>
    <row r="1373" spans="1:9" x14ac:dyDescent="0.25">
      <c r="A1373" s="6">
        <v>45503</v>
      </c>
      <c r="B1373" s="1" t="s">
        <v>2754</v>
      </c>
      <c r="C1373" s="3" t="str">
        <f>TRIM(CLEAN(PROPER(tblClean[[#This Row],[Transaction Description]])))</f>
        <v>Hope Floor Include.</v>
      </c>
      <c r="D1373" s="1" t="s">
        <v>13</v>
      </c>
      <c r="E1373" s="3" t="str">
        <f>TRIM(CLEAN(PROPER(tblClean[[#This Row],[Category]])))</f>
        <v>Rent</v>
      </c>
      <c r="F1373" s="10" t="s">
        <v>2755</v>
      </c>
      <c r="G1373" s="1" t="s">
        <v>8</v>
      </c>
      <c r="H1373" s="15">
        <f>MONTH(tblClean[[#This Row],[Date]])</f>
        <v>7</v>
      </c>
      <c r="I1373" s="15">
        <f>YEAR(tblClean[[#This Row],[Date]])</f>
        <v>2024</v>
      </c>
    </row>
    <row r="1374" spans="1:9" x14ac:dyDescent="0.25">
      <c r="A1374" s="7">
        <v>45503</v>
      </c>
      <c r="B1374" s="2" t="s">
        <v>2752</v>
      </c>
      <c r="C1374" s="4" t="str">
        <f>TRIM(CLEAN(PROPER(tblClean[[#This Row],[Transaction Description]])))</f>
        <v>Arrive Which Consider.</v>
      </c>
      <c r="D1374" s="2" t="s">
        <v>38</v>
      </c>
      <c r="E1374" s="3" t="str">
        <f>TRIM(CLEAN(PROPER(tblClean[[#This Row],[Category]])))</f>
        <v>Salary</v>
      </c>
      <c r="F1374" s="11" t="s">
        <v>2753</v>
      </c>
      <c r="G1374" s="2" t="s">
        <v>8</v>
      </c>
      <c r="H1374" s="15">
        <f>MONTH(tblClean[[#This Row],[Date]])</f>
        <v>7</v>
      </c>
      <c r="I1374" s="15">
        <f>YEAR(tblClean[[#This Row],[Date]])</f>
        <v>2024</v>
      </c>
    </row>
    <row r="1375" spans="1:9" x14ac:dyDescent="0.25">
      <c r="A1375" s="7">
        <v>45505</v>
      </c>
      <c r="B1375" s="2" t="s">
        <v>2756</v>
      </c>
      <c r="C1375" s="4" t="str">
        <f>TRIM(CLEAN(PROPER(tblClean[[#This Row],[Transaction Description]])))</f>
        <v>Heart Still Building.</v>
      </c>
      <c r="D1375" s="2" t="s">
        <v>6</v>
      </c>
      <c r="E1375" s="3" t="str">
        <f>TRIM(CLEAN(PROPER(tblClean[[#This Row],[Category]])))</f>
        <v>Food &amp; Drink</v>
      </c>
      <c r="F1375" s="11" t="s">
        <v>2757</v>
      </c>
      <c r="G1375" s="2" t="s">
        <v>8</v>
      </c>
      <c r="H1375" s="15">
        <f>MONTH(tblClean[[#This Row],[Date]])</f>
        <v>8</v>
      </c>
      <c r="I1375" s="15">
        <f>YEAR(tblClean[[#This Row],[Date]])</f>
        <v>2024</v>
      </c>
    </row>
    <row r="1376" spans="1:9" x14ac:dyDescent="0.25">
      <c r="A1376" s="7">
        <v>45506</v>
      </c>
      <c r="B1376" s="2" t="s">
        <v>2760</v>
      </c>
      <c r="C1376" s="4" t="str">
        <f>TRIM(CLEAN(PROPER(tblClean[[#This Row],[Transaction Description]])))</f>
        <v>We Especially Five Network.</v>
      </c>
      <c r="D1376" s="2" t="s">
        <v>6</v>
      </c>
      <c r="E1376" s="3" t="str">
        <f>TRIM(CLEAN(PROPER(tblClean[[#This Row],[Category]])))</f>
        <v>Food &amp; Drink</v>
      </c>
      <c r="F1376" s="11" t="s">
        <v>2761</v>
      </c>
      <c r="G1376" s="2" t="s">
        <v>8</v>
      </c>
      <c r="H1376" s="15">
        <f>MONTH(tblClean[[#This Row],[Date]])</f>
        <v>8</v>
      </c>
      <c r="I1376" s="15">
        <f>YEAR(tblClean[[#This Row],[Date]])</f>
        <v>2024</v>
      </c>
    </row>
    <row r="1377" spans="1:9" x14ac:dyDescent="0.25">
      <c r="A1377" s="6">
        <v>45506</v>
      </c>
      <c r="B1377" s="1" t="s">
        <v>2758</v>
      </c>
      <c r="C1377" s="3" t="str">
        <f>TRIM(CLEAN(PROPER(tblClean[[#This Row],[Transaction Description]])))</f>
        <v>Sell Only Manage.</v>
      </c>
      <c r="D1377" s="1" t="s">
        <v>22</v>
      </c>
      <c r="E1377" s="3" t="str">
        <f>TRIM(CLEAN(PROPER(tblClean[[#This Row],[Category]])))</f>
        <v>Shopping</v>
      </c>
      <c r="F1377" s="10" t="s">
        <v>2759</v>
      </c>
      <c r="G1377" s="1" t="s">
        <v>8</v>
      </c>
      <c r="H1377" s="15">
        <f>MONTH(tblClean[[#This Row],[Date]])</f>
        <v>8</v>
      </c>
      <c r="I1377" s="15">
        <f>YEAR(tblClean[[#This Row],[Date]])</f>
        <v>2024</v>
      </c>
    </row>
    <row r="1378" spans="1:9" x14ac:dyDescent="0.25">
      <c r="A1378" s="6">
        <v>45507</v>
      </c>
      <c r="B1378" s="1" t="s">
        <v>2762</v>
      </c>
      <c r="C1378" s="3" t="str">
        <f>TRIM(CLEAN(PROPER(tblClean[[#This Row],[Transaction Description]])))</f>
        <v>Ahead Plant Trial Affect.</v>
      </c>
      <c r="D1378" s="1" t="s">
        <v>38</v>
      </c>
      <c r="E1378" s="3" t="str">
        <f>TRIM(CLEAN(PROPER(tblClean[[#This Row],[Category]])))</f>
        <v>Salary</v>
      </c>
      <c r="F1378" s="10" t="s">
        <v>2763</v>
      </c>
      <c r="G1378" s="1" t="s">
        <v>8</v>
      </c>
      <c r="H1378" s="15">
        <f>MONTH(tblClean[[#This Row],[Date]])</f>
        <v>8</v>
      </c>
      <c r="I1378" s="15">
        <f>YEAR(tblClean[[#This Row],[Date]])</f>
        <v>2024</v>
      </c>
    </row>
    <row r="1379" spans="1:9" x14ac:dyDescent="0.25">
      <c r="A1379" s="7">
        <v>45507</v>
      </c>
      <c r="B1379" s="2" t="s">
        <v>2764</v>
      </c>
      <c r="C1379" s="4" t="str">
        <f>TRIM(CLEAN(PROPER(tblClean[[#This Row],[Transaction Description]])))</f>
        <v>Push East Never Size Fight.</v>
      </c>
      <c r="D1379" s="2" t="s">
        <v>53</v>
      </c>
      <c r="E1379" s="3" t="str">
        <f>TRIM(CLEAN(PROPER(tblClean[[#This Row],[Category]])))</f>
        <v>Travel</v>
      </c>
      <c r="F1379" s="11" t="s">
        <v>2765</v>
      </c>
      <c r="G1379" s="2" t="s">
        <v>8</v>
      </c>
      <c r="H1379" s="15">
        <f>MONTH(tblClean[[#This Row],[Date]])</f>
        <v>8</v>
      </c>
      <c r="I1379" s="15">
        <f>YEAR(tblClean[[#This Row],[Date]])</f>
        <v>2024</v>
      </c>
    </row>
    <row r="1380" spans="1:9" x14ac:dyDescent="0.25">
      <c r="A1380" s="6">
        <v>45512</v>
      </c>
      <c r="B1380" s="1" t="s">
        <v>2766</v>
      </c>
      <c r="C1380" s="3" t="str">
        <f>TRIM(CLEAN(PROPER(tblClean[[#This Row],[Transaction Description]])))</f>
        <v>Base Player Data Whose.</v>
      </c>
      <c r="D1380" s="1" t="s">
        <v>30</v>
      </c>
      <c r="E1380" s="3" t="str">
        <f>TRIM(CLEAN(PROPER(tblClean[[#This Row],[Category]])))</f>
        <v>Entertainment</v>
      </c>
      <c r="F1380" s="10" t="s">
        <v>2767</v>
      </c>
      <c r="G1380" s="1" t="s">
        <v>8</v>
      </c>
      <c r="H1380" s="15">
        <f>MONTH(tblClean[[#This Row],[Date]])</f>
        <v>8</v>
      </c>
      <c r="I1380" s="15">
        <f>YEAR(tblClean[[#This Row],[Date]])</f>
        <v>2024</v>
      </c>
    </row>
    <row r="1381" spans="1:9" x14ac:dyDescent="0.25">
      <c r="A1381" s="7">
        <v>45513</v>
      </c>
      <c r="B1381" s="2" t="s">
        <v>2768</v>
      </c>
      <c r="C1381" s="4" t="str">
        <f>TRIM(CLEAN(PROPER(tblClean[[#This Row],[Transaction Description]])))</f>
        <v>World Site Mr Interest Treatment.</v>
      </c>
      <c r="D1381" s="2" t="s">
        <v>35</v>
      </c>
      <c r="E1381" s="3" t="str">
        <f>TRIM(CLEAN(PROPER(tblClean[[#This Row],[Category]])))</f>
        <v>Health &amp; Fitness</v>
      </c>
      <c r="F1381" s="11" t="s">
        <v>2769</v>
      </c>
      <c r="G1381" s="2" t="s">
        <v>8</v>
      </c>
      <c r="H1381" s="15">
        <f>MONTH(tblClean[[#This Row],[Date]])</f>
        <v>8</v>
      </c>
      <c r="I1381" s="15">
        <f>YEAR(tblClean[[#This Row],[Date]])</f>
        <v>2024</v>
      </c>
    </row>
    <row r="1382" spans="1:9" x14ac:dyDescent="0.25">
      <c r="A1382" s="6">
        <v>45515</v>
      </c>
      <c r="B1382" s="1" t="s">
        <v>2770</v>
      </c>
      <c r="C1382" s="3" t="str">
        <f>TRIM(CLEAN(PROPER(tblClean[[#This Row],[Transaction Description]])))</f>
        <v>A Let.</v>
      </c>
      <c r="D1382" s="1" t="s">
        <v>16</v>
      </c>
      <c r="E1382" s="3" t="str">
        <f>TRIM(CLEAN(PROPER(tblClean[[#This Row],[Category]])))</f>
        <v>Investment</v>
      </c>
      <c r="F1382" s="10" t="s">
        <v>2771</v>
      </c>
      <c r="G1382" s="1" t="s">
        <v>18</v>
      </c>
      <c r="H1382" s="15">
        <f>MONTH(tblClean[[#This Row],[Date]])</f>
        <v>8</v>
      </c>
      <c r="I1382" s="15">
        <f>YEAR(tblClean[[#This Row],[Date]])</f>
        <v>2024</v>
      </c>
    </row>
    <row r="1383" spans="1:9" x14ac:dyDescent="0.25">
      <c r="A1383" s="6">
        <v>45518</v>
      </c>
      <c r="B1383" s="1" t="s">
        <v>2774</v>
      </c>
      <c r="C1383" s="3" t="str">
        <f>TRIM(CLEAN(PROPER(tblClean[[#This Row],[Transaction Description]])))</f>
        <v>Yourself Successful Defense Subject.</v>
      </c>
      <c r="D1383" s="1" t="s">
        <v>30</v>
      </c>
      <c r="E1383" s="3" t="str">
        <f>TRIM(CLEAN(PROPER(tblClean[[#This Row],[Category]])))</f>
        <v>Entertainment</v>
      </c>
      <c r="F1383" s="10" t="s">
        <v>2775</v>
      </c>
      <c r="G1383" s="1" t="s">
        <v>8</v>
      </c>
      <c r="H1383" s="15">
        <f>MONTH(tblClean[[#This Row],[Date]])</f>
        <v>8</v>
      </c>
      <c r="I1383" s="15">
        <f>YEAR(tblClean[[#This Row],[Date]])</f>
        <v>2024</v>
      </c>
    </row>
    <row r="1384" spans="1:9" x14ac:dyDescent="0.25">
      <c r="A1384" s="7">
        <v>45518</v>
      </c>
      <c r="B1384" s="2" t="s">
        <v>2776</v>
      </c>
      <c r="C1384" s="4" t="str">
        <f>TRIM(CLEAN(PROPER(tblClean[[#This Row],[Transaction Description]])))</f>
        <v>Claim Move.</v>
      </c>
      <c r="D1384" s="2" t="s">
        <v>13</v>
      </c>
      <c r="E1384" s="3" t="str">
        <f>TRIM(CLEAN(PROPER(tblClean[[#This Row],[Category]])))</f>
        <v>Rent</v>
      </c>
      <c r="F1384" s="11" t="s">
        <v>2777</v>
      </c>
      <c r="G1384" s="2" t="s">
        <v>8</v>
      </c>
      <c r="H1384" s="15">
        <f>MONTH(tblClean[[#This Row],[Date]])</f>
        <v>8</v>
      </c>
      <c r="I1384" s="15">
        <f>YEAR(tblClean[[#This Row],[Date]])</f>
        <v>2024</v>
      </c>
    </row>
    <row r="1385" spans="1:9" x14ac:dyDescent="0.25">
      <c r="A1385" s="7">
        <v>45518</v>
      </c>
      <c r="B1385" s="2" t="s">
        <v>2772</v>
      </c>
      <c r="C1385" s="4" t="str">
        <f>TRIM(CLEAN(PROPER(tblClean[[#This Row],[Transaction Description]])))</f>
        <v>A Value Lot.</v>
      </c>
      <c r="D1385" s="2" t="s">
        <v>22</v>
      </c>
      <c r="E1385" s="3" t="str">
        <f>TRIM(CLEAN(PROPER(tblClean[[#This Row],[Category]])))</f>
        <v>Shopping</v>
      </c>
      <c r="F1385" s="11" t="s">
        <v>2773</v>
      </c>
      <c r="G1385" s="2" t="s">
        <v>8</v>
      </c>
      <c r="H1385" s="15">
        <f>MONTH(tblClean[[#This Row],[Date]])</f>
        <v>8</v>
      </c>
      <c r="I1385" s="15">
        <f>YEAR(tblClean[[#This Row],[Date]])</f>
        <v>2024</v>
      </c>
    </row>
    <row r="1386" spans="1:9" x14ac:dyDescent="0.25">
      <c r="A1386" s="6">
        <v>45519</v>
      </c>
      <c r="B1386" s="1" t="s">
        <v>2778</v>
      </c>
      <c r="C1386" s="3" t="str">
        <f>TRIM(CLEAN(PROPER(tblClean[[#This Row],[Transaction Description]])))</f>
        <v>Bed Recognize Store.</v>
      </c>
      <c r="D1386" s="1" t="s">
        <v>35</v>
      </c>
      <c r="E1386" s="3" t="str">
        <f>TRIM(CLEAN(PROPER(tblClean[[#This Row],[Category]])))</f>
        <v>Health &amp; Fitness</v>
      </c>
      <c r="F1386" s="10" t="s">
        <v>2779</v>
      </c>
      <c r="G1386" s="1" t="s">
        <v>8</v>
      </c>
      <c r="H1386" s="15">
        <f>MONTH(tblClean[[#This Row],[Date]])</f>
        <v>8</v>
      </c>
      <c r="I1386" s="15">
        <f>YEAR(tblClean[[#This Row],[Date]])</f>
        <v>2024</v>
      </c>
    </row>
    <row r="1387" spans="1:9" x14ac:dyDescent="0.25">
      <c r="A1387" s="7">
        <v>45526</v>
      </c>
      <c r="B1387" s="2" t="s">
        <v>2780</v>
      </c>
      <c r="C1387" s="4" t="str">
        <f>TRIM(CLEAN(PROPER(tblClean[[#This Row],[Transaction Description]])))</f>
        <v>There Decision Measure.</v>
      </c>
      <c r="D1387" s="2" t="s">
        <v>30</v>
      </c>
      <c r="E1387" s="3" t="str">
        <f>TRIM(CLEAN(PROPER(tblClean[[#This Row],[Category]])))</f>
        <v>Entertainment</v>
      </c>
      <c r="F1387" s="11" t="s">
        <v>2781</v>
      </c>
      <c r="G1387" s="2" t="s">
        <v>8</v>
      </c>
      <c r="H1387" s="15">
        <f>MONTH(tblClean[[#This Row],[Date]])</f>
        <v>8</v>
      </c>
      <c r="I1387" s="15">
        <f>YEAR(tblClean[[#This Row],[Date]])</f>
        <v>2024</v>
      </c>
    </row>
    <row r="1388" spans="1:9" x14ac:dyDescent="0.25">
      <c r="A1388" s="6">
        <v>45527</v>
      </c>
      <c r="B1388" s="1" t="s">
        <v>2782</v>
      </c>
      <c r="C1388" s="3" t="str">
        <f>TRIM(CLEAN(PROPER(tblClean[[#This Row],[Transaction Description]])))</f>
        <v>Play Woman Remain Event.</v>
      </c>
      <c r="D1388" s="1" t="s">
        <v>27</v>
      </c>
      <c r="E1388" s="3" t="str">
        <f>TRIM(CLEAN(PROPER(tblClean[[#This Row],[Category]])))</f>
        <v>Other</v>
      </c>
      <c r="F1388" s="10" t="s">
        <v>2783</v>
      </c>
      <c r="G1388" s="1" t="s">
        <v>18</v>
      </c>
      <c r="H1388" s="15">
        <f>MONTH(tblClean[[#This Row],[Date]])</f>
        <v>8</v>
      </c>
      <c r="I1388" s="15">
        <f>YEAR(tblClean[[#This Row],[Date]])</f>
        <v>2024</v>
      </c>
    </row>
    <row r="1389" spans="1:9" x14ac:dyDescent="0.25">
      <c r="A1389" s="7">
        <v>45529</v>
      </c>
      <c r="B1389" s="2" t="s">
        <v>2788</v>
      </c>
      <c r="C1389" s="4" t="str">
        <f>TRIM(CLEAN(PROPER(tblClean[[#This Row],[Transaction Description]])))</f>
        <v>Including Time Reflect.</v>
      </c>
      <c r="D1389" s="2" t="s">
        <v>27</v>
      </c>
      <c r="E1389" s="3" t="str">
        <f>TRIM(CLEAN(PROPER(tblClean[[#This Row],[Category]])))</f>
        <v>Other</v>
      </c>
      <c r="F1389" s="11" t="s">
        <v>2789</v>
      </c>
      <c r="G1389" s="2" t="s">
        <v>18</v>
      </c>
      <c r="H1389" s="15">
        <f>MONTH(tblClean[[#This Row],[Date]])</f>
        <v>8</v>
      </c>
      <c r="I1389" s="15">
        <f>YEAR(tblClean[[#This Row],[Date]])</f>
        <v>2024</v>
      </c>
    </row>
    <row r="1390" spans="1:9" x14ac:dyDescent="0.25">
      <c r="A1390" s="7">
        <v>45529</v>
      </c>
      <c r="B1390" s="2" t="s">
        <v>2784</v>
      </c>
      <c r="C1390" s="4" t="str">
        <f>TRIM(CLEAN(PROPER(tblClean[[#This Row],[Transaction Description]])))</f>
        <v>Decision Where Foreign Trial.</v>
      </c>
      <c r="D1390" s="2" t="s">
        <v>22</v>
      </c>
      <c r="E1390" s="3" t="str">
        <f>TRIM(CLEAN(PROPER(tblClean[[#This Row],[Category]])))</f>
        <v>Shopping</v>
      </c>
      <c r="F1390" s="11" t="s">
        <v>2785</v>
      </c>
      <c r="G1390" s="2" t="s">
        <v>8</v>
      </c>
      <c r="H1390" s="15">
        <f>MONTH(tblClean[[#This Row],[Date]])</f>
        <v>8</v>
      </c>
      <c r="I1390" s="15">
        <f>YEAR(tblClean[[#This Row],[Date]])</f>
        <v>2024</v>
      </c>
    </row>
    <row r="1391" spans="1:9" x14ac:dyDescent="0.25">
      <c r="A1391" s="6">
        <v>45529</v>
      </c>
      <c r="B1391" s="1" t="s">
        <v>2786</v>
      </c>
      <c r="C1391" s="3" t="str">
        <f>TRIM(CLEAN(PROPER(tblClean[[#This Row],[Transaction Description]])))</f>
        <v>Participant Above.</v>
      </c>
      <c r="D1391" s="1" t="s">
        <v>53</v>
      </c>
      <c r="E1391" s="3" t="str">
        <f>TRIM(CLEAN(PROPER(tblClean[[#This Row],[Category]])))</f>
        <v>Travel</v>
      </c>
      <c r="F1391" s="10" t="s">
        <v>2787</v>
      </c>
      <c r="G1391" s="1" t="s">
        <v>8</v>
      </c>
      <c r="H1391" s="15">
        <f>MONTH(tblClean[[#This Row],[Date]])</f>
        <v>8</v>
      </c>
      <c r="I1391" s="15">
        <f>YEAR(tblClean[[#This Row],[Date]])</f>
        <v>2024</v>
      </c>
    </row>
    <row r="1392" spans="1:9" x14ac:dyDescent="0.25">
      <c r="A1392" s="7">
        <v>45531</v>
      </c>
      <c r="B1392" s="2" t="s">
        <v>2792</v>
      </c>
      <c r="C1392" s="4" t="str">
        <f>TRIM(CLEAN(PROPER(tblClean[[#This Row],[Transaction Description]])))</f>
        <v>Good Spend Still.</v>
      </c>
      <c r="D1392" s="2" t="s">
        <v>38</v>
      </c>
      <c r="E1392" s="3" t="str">
        <f>TRIM(CLEAN(PROPER(tblClean[[#This Row],[Category]])))</f>
        <v>Salary</v>
      </c>
      <c r="F1392" s="11" t="s">
        <v>2793</v>
      </c>
      <c r="G1392" s="2" t="s">
        <v>8</v>
      </c>
      <c r="H1392" s="15">
        <f>MONTH(tblClean[[#This Row],[Date]])</f>
        <v>8</v>
      </c>
      <c r="I1392" s="15">
        <f>YEAR(tblClean[[#This Row],[Date]])</f>
        <v>2024</v>
      </c>
    </row>
    <row r="1393" spans="1:9" x14ac:dyDescent="0.25">
      <c r="A1393" s="6">
        <v>45531</v>
      </c>
      <c r="B1393" s="1" t="s">
        <v>2790</v>
      </c>
      <c r="C1393" s="3" t="str">
        <f>TRIM(CLEAN(PROPER(tblClean[[#This Row],[Transaction Description]])))</f>
        <v>Ball Theory Prepare Much Throughout.</v>
      </c>
      <c r="D1393" s="1" t="s">
        <v>53</v>
      </c>
      <c r="E1393" s="3" t="str">
        <f>TRIM(CLEAN(PROPER(tblClean[[#This Row],[Category]])))</f>
        <v>Travel</v>
      </c>
      <c r="F1393" s="10" t="s">
        <v>2791</v>
      </c>
      <c r="G1393" s="1" t="s">
        <v>8</v>
      </c>
      <c r="H1393" s="15">
        <f>MONTH(tblClean[[#This Row],[Date]])</f>
        <v>8</v>
      </c>
      <c r="I1393" s="15">
        <f>YEAR(tblClean[[#This Row],[Date]])</f>
        <v>2024</v>
      </c>
    </row>
    <row r="1394" spans="1:9" x14ac:dyDescent="0.25">
      <c r="A1394" s="7">
        <v>45532</v>
      </c>
      <c r="B1394" s="2" t="s">
        <v>2796</v>
      </c>
      <c r="C1394" s="4" t="str">
        <f>TRIM(CLEAN(PROPER(tblClean[[#This Row],[Transaction Description]])))</f>
        <v>View Know Develop After.</v>
      </c>
      <c r="D1394" s="2" t="s">
        <v>6</v>
      </c>
      <c r="E1394" s="3" t="str">
        <f>TRIM(CLEAN(PROPER(tblClean[[#This Row],[Category]])))</f>
        <v>Food &amp; Drink</v>
      </c>
      <c r="F1394" s="11" t="s">
        <v>2797</v>
      </c>
      <c r="G1394" s="2" t="s">
        <v>8</v>
      </c>
      <c r="H1394" s="15">
        <f>MONTH(tblClean[[#This Row],[Date]])</f>
        <v>8</v>
      </c>
      <c r="I1394" s="15">
        <f>YEAR(tblClean[[#This Row],[Date]])</f>
        <v>2024</v>
      </c>
    </row>
    <row r="1395" spans="1:9" x14ac:dyDescent="0.25">
      <c r="A1395" s="6">
        <v>45532</v>
      </c>
      <c r="B1395" s="1" t="s">
        <v>2794</v>
      </c>
      <c r="C1395" s="3" t="str">
        <f>TRIM(CLEAN(PROPER(tblClean[[#This Row],[Transaction Description]])))</f>
        <v>Concern Should Recent Across.</v>
      </c>
      <c r="D1395" s="1" t="s">
        <v>38</v>
      </c>
      <c r="E1395" s="3" t="str">
        <f>TRIM(CLEAN(PROPER(tblClean[[#This Row],[Category]])))</f>
        <v>Salary</v>
      </c>
      <c r="F1395" s="10" t="s">
        <v>2795</v>
      </c>
      <c r="G1395" s="1" t="s">
        <v>8</v>
      </c>
      <c r="H1395" s="15">
        <f>MONTH(tblClean[[#This Row],[Date]])</f>
        <v>8</v>
      </c>
      <c r="I1395" s="15">
        <f>YEAR(tblClean[[#This Row],[Date]])</f>
        <v>2024</v>
      </c>
    </row>
    <row r="1396" spans="1:9" x14ac:dyDescent="0.25">
      <c r="A1396" s="6">
        <v>45532</v>
      </c>
      <c r="B1396" s="1" t="s">
        <v>2798</v>
      </c>
      <c r="C1396" s="3" t="str">
        <f>TRIM(CLEAN(PROPER(tblClean[[#This Row],[Transaction Description]])))</f>
        <v>Course Staff Personal Space.</v>
      </c>
      <c r="D1396" s="1" t="s">
        <v>22</v>
      </c>
      <c r="E1396" s="3" t="str">
        <f>TRIM(CLEAN(PROPER(tblClean[[#This Row],[Category]])))</f>
        <v>Shopping</v>
      </c>
      <c r="F1396" s="10" t="s">
        <v>2799</v>
      </c>
      <c r="G1396" s="1" t="s">
        <v>8</v>
      </c>
      <c r="H1396" s="15">
        <f>MONTH(tblClean[[#This Row],[Date]])</f>
        <v>8</v>
      </c>
      <c r="I1396" s="15">
        <f>YEAR(tblClean[[#This Row],[Date]])</f>
        <v>2024</v>
      </c>
    </row>
    <row r="1397" spans="1:9" x14ac:dyDescent="0.25">
      <c r="A1397" s="7">
        <v>45534</v>
      </c>
      <c r="B1397" s="2" t="s">
        <v>2800</v>
      </c>
      <c r="C1397" s="4" t="str">
        <f>TRIM(CLEAN(PROPER(tblClean[[#This Row],[Transaction Description]])))</f>
        <v>Woman Whose Already.</v>
      </c>
      <c r="D1397" s="2" t="s">
        <v>30</v>
      </c>
      <c r="E1397" s="3" t="str">
        <f>TRIM(CLEAN(PROPER(tblClean[[#This Row],[Category]])))</f>
        <v>Entertainment</v>
      </c>
      <c r="F1397" s="11" t="s">
        <v>2801</v>
      </c>
      <c r="G1397" s="2" t="s">
        <v>8</v>
      </c>
      <c r="H1397" s="15">
        <f>MONTH(tblClean[[#This Row],[Date]])</f>
        <v>8</v>
      </c>
      <c r="I1397" s="15">
        <f>YEAR(tblClean[[#This Row],[Date]])</f>
        <v>2024</v>
      </c>
    </row>
    <row r="1398" spans="1:9" x14ac:dyDescent="0.25">
      <c r="A1398" s="6">
        <v>45536</v>
      </c>
      <c r="B1398" s="1" t="s">
        <v>2802</v>
      </c>
      <c r="C1398" s="3" t="str">
        <f>TRIM(CLEAN(PROPER(tblClean[[#This Row],[Transaction Description]])))</f>
        <v>Decide Cultural Start How Thank.</v>
      </c>
      <c r="D1398" s="1" t="s">
        <v>35</v>
      </c>
      <c r="E1398" s="3" t="str">
        <f>TRIM(CLEAN(PROPER(tblClean[[#This Row],[Category]])))</f>
        <v>Health &amp; Fitness</v>
      </c>
      <c r="F1398" s="10" t="s">
        <v>2803</v>
      </c>
      <c r="G1398" s="1" t="s">
        <v>8</v>
      </c>
      <c r="H1398" s="15">
        <f>MONTH(tblClean[[#This Row],[Date]])</f>
        <v>9</v>
      </c>
      <c r="I1398" s="15">
        <f>YEAR(tblClean[[#This Row],[Date]])</f>
        <v>2024</v>
      </c>
    </row>
    <row r="1399" spans="1:9" x14ac:dyDescent="0.25">
      <c r="A1399" s="7">
        <v>45537</v>
      </c>
      <c r="B1399" s="2" t="s">
        <v>2804</v>
      </c>
      <c r="C1399" s="4" t="str">
        <f>TRIM(CLEAN(PROPER(tblClean[[#This Row],[Transaction Description]])))</f>
        <v>Management Necessary Process Not.</v>
      </c>
      <c r="D1399" s="2" t="s">
        <v>27</v>
      </c>
      <c r="E1399" s="3" t="str">
        <f>TRIM(CLEAN(PROPER(tblClean[[#This Row],[Category]])))</f>
        <v>Other</v>
      </c>
      <c r="F1399" s="11" t="s">
        <v>2805</v>
      </c>
      <c r="G1399" s="2" t="s">
        <v>18</v>
      </c>
      <c r="H1399" s="15">
        <f>MONTH(tblClean[[#This Row],[Date]])</f>
        <v>9</v>
      </c>
      <c r="I1399" s="15">
        <f>YEAR(tblClean[[#This Row],[Date]])</f>
        <v>2024</v>
      </c>
    </row>
    <row r="1400" spans="1:9" x14ac:dyDescent="0.25">
      <c r="A1400" s="6">
        <v>45540</v>
      </c>
      <c r="B1400" s="1" t="s">
        <v>2810</v>
      </c>
      <c r="C1400" s="3" t="str">
        <f>TRIM(CLEAN(PROPER(tblClean[[#This Row],[Transaction Description]])))</f>
        <v>Pass Quite Third Ability Interview.</v>
      </c>
      <c r="D1400" s="1" t="s">
        <v>27</v>
      </c>
      <c r="E1400" s="3" t="str">
        <f>TRIM(CLEAN(PROPER(tblClean[[#This Row],[Category]])))</f>
        <v>Other</v>
      </c>
      <c r="F1400" s="10" t="s">
        <v>2811</v>
      </c>
      <c r="G1400" s="1" t="s">
        <v>18</v>
      </c>
      <c r="H1400" s="15">
        <f>MONTH(tblClean[[#This Row],[Date]])</f>
        <v>9</v>
      </c>
      <c r="I1400" s="15">
        <f>YEAR(tblClean[[#This Row],[Date]])</f>
        <v>2024</v>
      </c>
    </row>
    <row r="1401" spans="1:9" x14ac:dyDescent="0.25">
      <c r="A1401" s="7">
        <v>45540</v>
      </c>
      <c r="B1401" s="2" t="s">
        <v>2808</v>
      </c>
      <c r="C1401" s="4" t="str">
        <f>TRIM(CLEAN(PROPER(tblClean[[#This Row],[Transaction Description]])))</f>
        <v>Talk Thing Rock Ever Summer.</v>
      </c>
      <c r="D1401" s="2" t="s">
        <v>13</v>
      </c>
      <c r="E1401" s="3" t="str">
        <f>TRIM(CLEAN(PROPER(tblClean[[#This Row],[Category]])))</f>
        <v>Rent</v>
      </c>
      <c r="F1401" s="11" t="s">
        <v>2809</v>
      </c>
      <c r="G1401" s="2" t="s">
        <v>8</v>
      </c>
      <c r="H1401" s="15">
        <f>MONTH(tblClean[[#This Row],[Date]])</f>
        <v>9</v>
      </c>
      <c r="I1401" s="15">
        <f>YEAR(tblClean[[#This Row],[Date]])</f>
        <v>2024</v>
      </c>
    </row>
    <row r="1402" spans="1:9" x14ac:dyDescent="0.25">
      <c r="A1402" s="6">
        <v>45540</v>
      </c>
      <c r="B1402" s="1" t="s">
        <v>2806</v>
      </c>
      <c r="C1402" s="3" t="str">
        <f>TRIM(CLEAN(PROPER(tblClean[[#This Row],[Transaction Description]])))</f>
        <v>Assume Campaign Assume.</v>
      </c>
      <c r="D1402" s="1" t="s">
        <v>22</v>
      </c>
      <c r="E1402" s="3" t="str">
        <f>TRIM(CLEAN(PROPER(tblClean[[#This Row],[Category]])))</f>
        <v>Shopping</v>
      </c>
      <c r="F1402" s="10" t="s">
        <v>2807</v>
      </c>
      <c r="G1402" s="1" t="s">
        <v>8</v>
      </c>
      <c r="H1402" s="15">
        <f>MONTH(tblClean[[#This Row],[Date]])</f>
        <v>9</v>
      </c>
      <c r="I1402" s="15">
        <f>YEAR(tblClean[[#This Row],[Date]])</f>
        <v>2024</v>
      </c>
    </row>
    <row r="1403" spans="1:9" x14ac:dyDescent="0.25">
      <c r="A1403" s="7">
        <v>45540</v>
      </c>
      <c r="B1403" s="2" t="s">
        <v>2812</v>
      </c>
      <c r="C1403" s="4" t="str">
        <f>TRIM(CLEAN(PROPER(tblClean[[#This Row],[Transaction Description]])))</f>
        <v>Item Yet Ever Quite.</v>
      </c>
      <c r="D1403" s="2" t="s">
        <v>53</v>
      </c>
      <c r="E1403" s="3" t="str">
        <f>TRIM(CLEAN(PROPER(tblClean[[#This Row],[Category]])))</f>
        <v>Travel</v>
      </c>
      <c r="F1403" s="11" t="s">
        <v>2813</v>
      </c>
      <c r="G1403" s="2" t="s">
        <v>8</v>
      </c>
      <c r="H1403" s="15">
        <f>MONTH(tblClean[[#This Row],[Date]])</f>
        <v>9</v>
      </c>
      <c r="I1403" s="15">
        <f>YEAR(tblClean[[#This Row],[Date]])</f>
        <v>2024</v>
      </c>
    </row>
    <row r="1404" spans="1:9" x14ac:dyDescent="0.25">
      <c r="A1404" s="6">
        <v>45541</v>
      </c>
      <c r="B1404" s="1" t="s">
        <v>2814</v>
      </c>
      <c r="C1404" s="3" t="str">
        <f>TRIM(CLEAN(PROPER(tblClean[[#This Row],[Transaction Description]])))</f>
        <v>Guess Service This Different.</v>
      </c>
      <c r="D1404" s="1" t="s">
        <v>30</v>
      </c>
      <c r="E1404" s="3" t="str">
        <f>TRIM(CLEAN(PROPER(tblClean[[#This Row],[Category]])))</f>
        <v>Entertainment</v>
      </c>
      <c r="F1404" s="10" t="s">
        <v>2815</v>
      </c>
      <c r="G1404" s="1" t="s">
        <v>8</v>
      </c>
      <c r="H1404" s="15">
        <f>MONTH(tblClean[[#This Row],[Date]])</f>
        <v>9</v>
      </c>
      <c r="I1404" s="15">
        <f>YEAR(tblClean[[#This Row],[Date]])</f>
        <v>2024</v>
      </c>
    </row>
    <row r="1405" spans="1:9" x14ac:dyDescent="0.25">
      <c r="A1405" s="7">
        <v>45542</v>
      </c>
      <c r="B1405" s="2" t="s">
        <v>2816</v>
      </c>
      <c r="C1405" s="4" t="str">
        <f>TRIM(CLEAN(PROPER(tblClean[[#This Row],[Transaction Description]])))</f>
        <v>Mother First Hot Free.</v>
      </c>
      <c r="D1405" s="2" t="s">
        <v>16</v>
      </c>
      <c r="E1405" s="3" t="str">
        <f>TRIM(CLEAN(PROPER(tblClean[[#This Row],[Category]])))</f>
        <v>Investment</v>
      </c>
      <c r="F1405" s="11" t="s">
        <v>2817</v>
      </c>
      <c r="G1405" s="2" t="s">
        <v>18</v>
      </c>
      <c r="H1405" s="15">
        <f>MONTH(tblClean[[#This Row],[Date]])</f>
        <v>9</v>
      </c>
      <c r="I1405" s="15">
        <f>YEAR(tblClean[[#This Row],[Date]])</f>
        <v>2024</v>
      </c>
    </row>
    <row r="1406" spans="1:9" x14ac:dyDescent="0.25">
      <c r="A1406" s="6">
        <v>45543</v>
      </c>
      <c r="B1406" s="1" t="s">
        <v>2818</v>
      </c>
      <c r="C1406" s="3" t="str">
        <f>TRIM(CLEAN(PROPER(tblClean[[#This Row],[Transaction Description]])))</f>
        <v>Wrong Difficult.</v>
      </c>
      <c r="D1406" s="1" t="s">
        <v>30</v>
      </c>
      <c r="E1406" s="3" t="str">
        <f>TRIM(CLEAN(PROPER(tblClean[[#This Row],[Category]])))</f>
        <v>Entertainment</v>
      </c>
      <c r="F1406" s="10" t="s">
        <v>2819</v>
      </c>
      <c r="G1406" s="1" t="s">
        <v>8</v>
      </c>
      <c r="H1406" s="15">
        <f>MONTH(tblClean[[#This Row],[Date]])</f>
        <v>9</v>
      </c>
      <c r="I1406" s="15">
        <f>YEAR(tblClean[[#This Row],[Date]])</f>
        <v>2024</v>
      </c>
    </row>
    <row r="1407" spans="1:9" x14ac:dyDescent="0.25">
      <c r="A1407" s="7">
        <v>45545</v>
      </c>
      <c r="B1407" s="2" t="s">
        <v>2820</v>
      </c>
      <c r="C1407" s="4" t="str">
        <f>TRIM(CLEAN(PROPER(tblClean[[#This Row],[Transaction Description]])))</f>
        <v>True Culture.</v>
      </c>
      <c r="D1407" s="2" t="s">
        <v>35</v>
      </c>
      <c r="E1407" s="3" t="str">
        <f>TRIM(CLEAN(PROPER(tblClean[[#This Row],[Category]])))</f>
        <v>Health &amp; Fitness</v>
      </c>
      <c r="F1407" s="11" t="s">
        <v>2821</v>
      </c>
      <c r="G1407" s="2" t="s">
        <v>8</v>
      </c>
      <c r="H1407" s="15">
        <f>MONTH(tblClean[[#This Row],[Date]])</f>
        <v>9</v>
      </c>
      <c r="I1407" s="15">
        <f>YEAR(tblClean[[#This Row],[Date]])</f>
        <v>2024</v>
      </c>
    </row>
    <row r="1408" spans="1:9" x14ac:dyDescent="0.25">
      <c r="A1408" s="6">
        <v>45548</v>
      </c>
      <c r="B1408" s="1" t="s">
        <v>2822</v>
      </c>
      <c r="C1408" s="3" t="str">
        <f>TRIM(CLEAN(PROPER(tblClean[[#This Row],[Transaction Description]])))</f>
        <v>As Personal Agreement.</v>
      </c>
      <c r="D1408" s="1" t="s">
        <v>16</v>
      </c>
      <c r="E1408" s="3" t="str">
        <f>TRIM(CLEAN(PROPER(tblClean[[#This Row],[Category]])))</f>
        <v>Investment</v>
      </c>
      <c r="F1408" s="10" t="s">
        <v>2823</v>
      </c>
      <c r="G1408" s="1" t="s">
        <v>18</v>
      </c>
      <c r="H1408" s="15">
        <f>MONTH(tblClean[[#This Row],[Date]])</f>
        <v>9</v>
      </c>
      <c r="I1408" s="15">
        <f>YEAR(tblClean[[#This Row],[Date]])</f>
        <v>2024</v>
      </c>
    </row>
    <row r="1409" spans="1:9" x14ac:dyDescent="0.25">
      <c r="A1409" s="7">
        <v>45550</v>
      </c>
      <c r="B1409" s="2" t="s">
        <v>2824</v>
      </c>
      <c r="C1409" s="4" t="str">
        <f>TRIM(CLEAN(PROPER(tblClean[[#This Row],[Transaction Description]])))</f>
        <v>Or Phone.</v>
      </c>
      <c r="D1409" s="2" t="s">
        <v>6</v>
      </c>
      <c r="E1409" s="3" t="str">
        <f>TRIM(CLEAN(PROPER(tblClean[[#This Row],[Category]])))</f>
        <v>Food &amp; Drink</v>
      </c>
      <c r="F1409" s="11" t="s">
        <v>2825</v>
      </c>
      <c r="G1409" s="2" t="s">
        <v>8</v>
      </c>
      <c r="H1409" s="15">
        <f>MONTH(tblClean[[#This Row],[Date]])</f>
        <v>9</v>
      </c>
      <c r="I1409" s="15">
        <f>YEAR(tblClean[[#This Row],[Date]])</f>
        <v>2024</v>
      </c>
    </row>
    <row r="1410" spans="1:9" x14ac:dyDescent="0.25">
      <c r="A1410" s="6">
        <v>45551</v>
      </c>
      <c r="B1410" s="1" t="s">
        <v>2826</v>
      </c>
      <c r="C1410" s="3" t="str">
        <f>TRIM(CLEAN(PROPER(tblClean[[#This Row],[Transaction Description]])))</f>
        <v>East List When.</v>
      </c>
      <c r="D1410" s="1" t="s">
        <v>35</v>
      </c>
      <c r="E1410" s="3" t="str">
        <f>TRIM(CLEAN(PROPER(tblClean[[#This Row],[Category]])))</f>
        <v>Health &amp; Fitness</v>
      </c>
      <c r="F1410" s="10" t="s">
        <v>2827</v>
      </c>
      <c r="G1410" s="1" t="s">
        <v>8</v>
      </c>
      <c r="H1410" s="15">
        <f>MONTH(tblClean[[#This Row],[Date]])</f>
        <v>9</v>
      </c>
      <c r="I1410" s="15">
        <f>YEAR(tblClean[[#This Row],[Date]])</f>
        <v>2024</v>
      </c>
    </row>
    <row r="1411" spans="1:9" x14ac:dyDescent="0.25">
      <c r="A1411" s="7">
        <v>45552</v>
      </c>
      <c r="B1411" s="2" t="s">
        <v>2828</v>
      </c>
      <c r="C1411" s="4" t="str">
        <f>TRIM(CLEAN(PROPER(tblClean[[#This Row],[Transaction Description]])))</f>
        <v>Mind Door Authority Outside.</v>
      </c>
      <c r="D1411" s="2" t="s">
        <v>53</v>
      </c>
      <c r="E1411" s="3" t="str">
        <f>TRIM(CLEAN(PROPER(tblClean[[#This Row],[Category]])))</f>
        <v>Travel</v>
      </c>
      <c r="F1411" s="11" t="s">
        <v>2829</v>
      </c>
      <c r="G1411" s="2" t="s">
        <v>8</v>
      </c>
      <c r="H1411" s="15">
        <f>MONTH(tblClean[[#This Row],[Date]])</f>
        <v>9</v>
      </c>
      <c r="I1411" s="15">
        <f>YEAR(tblClean[[#This Row],[Date]])</f>
        <v>2024</v>
      </c>
    </row>
    <row r="1412" spans="1:9" x14ac:dyDescent="0.25">
      <c r="A1412" s="6">
        <v>45552</v>
      </c>
      <c r="B1412" s="1" t="s">
        <v>2830</v>
      </c>
      <c r="C1412" s="3" t="str">
        <f>TRIM(CLEAN(PROPER(tblClean[[#This Row],[Transaction Description]])))</f>
        <v>Personal Often.</v>
      </c>
      <c r="D1412" s="1" t="s">
        <v>53</v>
      </c>
      <c r="E1412" s="3" t="str">
        <f>TRIM(CLEAN(PROPER(tblClean[[#This Row],[Category]])))</f>
        <v>Travel</v>
      </c>
      <c r="F1412" s="10" t="s">
        <v>2831</v>
      </c>
      <c r="G1412" s="1" t="s">
        <v>8</v>
      </c>
      <c r="H1412" s="15">
        <f>MONTH(tblClean[[#This Row],[Date]])</f>
        <v>9</v>
      </c>
      <c r="I1412" s="15">
        <f>YEAR(tblClean[[#This Row],[Date]])</f>
        <v>2024</v>
      </c>
    </row>
    <row r="1413" spans="1:9" x14ac:dyDescent="0.25">
      <c r="A1413" s="7">
        <v>45552</v>
      </c>
      <c r="B1413" s="2" t="s">
        <v>2832</v>
      </c>
      <c r="C1413" s="4" t="str">
        <f>TRIM(CLEAN(PROPER(tblClean[[#This Row],[Transaction Description]])))</f>
        <v>True Help.</v>
      </c>
      <c r="D1413" s="2" t="s">
        <v>10</v>
      </c>
      <c r="E1413" s="3" t="str">
        <f>TRIM(CLEAN(PROPER(tblClean[[#This Row],[Category]])))</f>
        <v>Utilities</v>
      </c>
      <c r="F1413" s="11" t="s">
        <v>2833</v>
      </c>
      <c r="G1413" s="2" t="s">
        <v>8</v>
      </c>
      <c r="H1413" s="15">
        <f>MONTH(tblClean[[#This Row],[Date]])</f>
        <v>9</v>
      </c>
      <c r="I1413" s="15">
        <f>YEAR(tblClean[[#This Row],[Date]])</f>
        <v>2024</v>
      </c>
    </row>
    <row r="1414" spans="1:9" x14ac:dyDescent="0.25">
      <c r="A1414" s="6">
        <v>45553</v>
      </c>
      <c r="B1414" s="1" t="s">
        <v>2834</v>
      </c>
      <c r="C1414" s="3" t="str">
        <f>TRIM(CLEAN(PROPER(tblClean[[#This Row],[Transaction Description]])))</f>
        <v>Artist Sort Area.</v>
      </c>
      <c r="D1414" s="1" t="s">
        <v>38</v>
      </c>
      <c r="E1414" s="3" t="str">
        <f>TRIM(CLEAN(PROPER(tblClean[[#This Row],[Category]])))</f>
        <v>Salary</v>
      </c>
      <c r="F1414" s="10" t="s">
        <v>2835</v>
      </c>
      <c r="G1414" s="1" t="s">
        <v>8</v>
      </c>
      <c r="H1414" s="15">
        <f>MONTH(tblClean[[#This Row],[Date]])</f>
        <v>9</v>
      </c>
      <c r="I1414" s="15">
        <f>YEAR(tblClean[[#This Row],[Date]])</f>
        <v>2024</v>
      </c>
    </row>
    <row r="1415" spans="1:9" x14ac:dyDescent="0.25">
      <c r="A1415" s="7">
        <v>45556</v>
      </c>
      <c r="B1415" s="2" t="s">
        <v>2836</v>
      </c>
      <c r="C1415" s="4" t="str">
        <f>TRIM(CLEAN(PROPER(tblClean[[#This Row],[Transaction Description]])))</f>
        <v>Big Argue.</v>
      </c>
      <c r="D1415" s="2" t="s">
        <v>27</v>
      </c>
      <c r="E1415" s="3" t="str">
        <f>TRIM(CLEAN(PROPER(tblClean[[#This Row],[Category]])))</f>
        <v>Other</v>
      </c>
      <c r="F1415" s="11" t="s">
        <v>2837</v>
      </c>
      <c r="G1415" s="2" t="s">
        <v>18</v>
      </c>
      <c r="H1415" s="15">
        <f>MONTH(tblClean[[#This Row],[Date]])</f>
        <v>9</v>
      </c>
      <c r="I1415" s="15">
        <f>YEAR(tblClean[[#This Row],[Date]])</f>
        <v>2024</v>
      </c>
    </row>
    <row r="1416" spans="1:9" x14ac:dyDescent="0.25">
      <c r="A1416" s="6">
        <v>45557</v>
      </c>
      <c r="B1416" s="1" t="s">
        <v>2838</v>
      </c>
      <c r="C1416" s="3" t="str">
        <f>TRIM(CLEAN(PROPER(tblClean[[#This Row],[Transaction Description]])))</f>
        <v>Sure I Pay.</v>
      </c>
      <c r="D1416" s="1" t="s">
        <v>10</v>
      </c>
      <c r="E1416" s="3" t="str">
        <f>TRIM(CLEAN(PROPER(tblClean[[#This Row],[Category]])))</f>
        <v>Utilities</v>
      </c>
      <c r="F1416" s="10" t="s">
        <v>2839</v>
      </c>
      <c r="G1416" s="1" t="s">
        <v>8</v>
      </c>
      <c r="H1416" s="15">
        <f>MONTH(tblClean[[#This Row],[Date]])</f>
        <v>9</v>
      </c>
      <c r="I1416" s="15">
        <f>YEAR(tblClean[[#This Row],[Date]])</f>
        <v>2024</v>
      </c>
    </row>
    <row r="1417" spans="1:9" x14ac:dyDescent="0.25">
      <c r="A1417" s="7">
        <v>45558</v>
      </c>
      <c r="B1417" s="2" t="s">
        <v>2840</v>
      </c>
      <c r="C1417" s="4" t="str">
        <f>TRIM(CLEAN(PROPER(tblClean[[#This Row],[Transaction Description]])))</f>
        <v>Ten Skin Perhaps.</v>
      </c>
      <c r="D1417" s="2" t="s">
        <v>27</v>
      </c>
      <c r="E1417" s="3" t="str">
        <f>TRIM(CLEAN(PROPER(tblClean[[#This Row],[Category]])))</f>
        <v>Other</v>
      </c>
      <c r="F1417" s="11" t="s">
        <v>2841</v>
      </c>
      <c r="G1417" s="2" t="s">
        <v>18</v>
      </c>
      <c r="H1417" s="15">
        <f>MONTH(tblClean[[#This Row],[Date]])</f>
        <v>9</v>
      </c>
      <c r="I1417" s="15">
        <f>YEAR(tblClean[[#This Row],[Date]])</f>
        <v>2024</v>
      </c>
    </row>
    <row r="1418" spans="1:9" x14ac:dyDescent="0.25">
      <c r="A1418" s="6">
        <v>45559</v>
      </c>
      <c r="B1418" s="1" t="s">
        <v>2842</v>
      </c>
      <c r="C1418" s="3" t="str">
        <f>TRIM(CLEAN(PROPER(tblClean[[#This Row],[Transaction Description]])))</f>
        <v>Less Into Per Big.</v>
      </c>
      <c r="D1418" s="1" t="s">
        <v>6</v>
      </c>
      <c r="E1418" s="3" t="str">
        <f>TRIM(CLEAN(PROPER(tblClean[[#This Row],[Category]])))</f>
        <v>Food &amp; Drink</v>
      </c>
      <c r="F1418" s="10" t="s">
        <v>2843</v>
      </c>
      <c r="G1418" s="1" t="s">
        <v>8</v>
      </c>
      <c r="H1418" s="15">
        <f>MONTH(tblClean[[#This Row],[Date]])</f>
        <v>9</v>
      </c>
      <c r="I1418" s="15">
        <f>YEAR(tblClean[[#This Row],[Date]])</f>
        <v>2024</v>
      </c>
    </row>
    <row r="1419" spans="1:9" x14ac:dyDescent="0.25">
      <c r="A1419" s="7">
        <v>45560</v>
      </c>
      <c r="B1419" s="2" t="s">
        <v>2844</v>
      </c>
      <c r="C1419" s="4" t="str">
        <f>TRIM(CLEAN(PROPER(tblClean[[#This Row],[Transaction Description]])))</f>
        <v>Military Onto Blue Activity.</v>
      </c>
      <c r="D1419" s="2" t="s">
        <v>13</v>
      </c>
      <c r="E1419" s="3" t="str">
        <f>TRIM(CLEAN(PROPER(tblClean[[#This Row],[Category]])))</f>
        <v>Rent</v>
      </c>
      <c r="F1419" s="11" t="s">
        <v>2845</v>
      </c>
      <c r="G1419" s="2" t="s">
        <v>8</v>
      </c>
      <c r="H1419" s="15">
        <f>MONTH(tblClean[[#This Row],[Date]])</f>
        <v>9</v>
      </c>
      <c r="I1419" s="15">
        <f>YEAR(tblClean[[#This Row],[Date]])</f>
        <v>2024</v>
      </c>
    </row>
    <row r="1420" spans="1:9" x14ac:dyDescent="0.25">
      <c r="A1420" s="6">
        <v>45561</v>
      </c>
      <c r="B1420" s="1" t="s">
        <v>2846</v>
      </c>
      <c r="C1420" s="3" t="str">
        <f>TRIM(CLEAN(PROPER(tblClean[[#This Row],[Transaction Description]])))</f>
        <v>Smile Cover Of Pm Eight.</v>
      </c>
      <c r="D1420" s="1" t="s">
        <v>53</v>
      </c>
      <c r="E1420" s="3" t="str">
        <f>TRIM(CLEAN(PROPER(tblClean[[#This Row],[Category]])))</f>
        <v>Travel</v>
      </c>
      <c r="F1420" s="10" t="s">
        <v>2847</v>
      </c>
      <c r="G1420" s="1" t="s">
        <v>8</v>
      </c>
      <c r="H1420" s="15">
        <f>MONTH(tblClean[[#This Row],[Date]])</f>
        <v>9</v>
      </c>
      <c r="I1420" s="15">
        <f>YEAR(tblClean[[#This Row],[Date]])</f>
        <v>2024</v>
      </c>
    </row>
    <row r="1421" spans="1:9" x14ac:dyDescent="0.25">
      <c r="A1421" s="7">
        <v>45561</v>
      </c>
      <c r="B1421" s="2" t="s">
        <v>2848</v>
      </c>
      <c r="C1421" s="4" t="str">
        <f>TRIM(CLEAN(PROPER(tblClean[[#This Row],[Transaction Description]])))</f>
        <v>Right Know During Someone.</v>
      </c>
      <c r="D1421" s="2" t="s">
        <v>53</v>
      </c>
      <c r="E1421" s="3" t="str">
        <f>TRIM(CLEAN(PROPER(tblClean[[#This Row],[Category]])))</f>
        <v>Travel</v>
      </c>
      <c r="F1421" s="11" t="s">
        <v>2849</v>
      </c>
      <c r="G1421" s="2" t="s">
        <v>8</v>
      </c>
      <c r="H1421" s="15">
        <f>MONTH(tblClean[[#This Row],[Date]])</f>
        <v>9</v>
      </c>
      <c r="I1421" s="15">
        <f>YEAR(tblClean[[#This Row],[Date]])</f>
        <v>2024</v>
      </c>
    </row>
    <row r="1422" spans="1:9" x14ac:dyDescent="0.25">
      <c r="A1422" s="6">
        <v>45562</v>
      </c>
      <c r="B1422" s="1" t="s">
        <v>2850</v>
      </c>
      <c r="C1422" s="3" t="str">
        <f>TRIM(CLEAN(PROPER(tblClean[[#This Row],[Transaction Description]])))</f>
        <v>Find Job Where.</v>
      </c>
      <c r="D1422" s="1" t="s">
        <v>35</v>
      </c>
      <c r="E1422" s="3" t="str">
        <f>TRIM(CLEAN(PROPER(tblClean[[#This Row],[Category]])))</f>
        <v>Health &amp; Fitness</v>
      </c>
      <c r="F1422" s="10" t="s">
        <v>2851</v>
      </c>
      <c r="G1422" s="1" t="s">
        <v>8</v>
      </c>
      <c r="H1422" s="15">
        <f>MONTH(tblClean[[#This Row],[Date]])</f>
        <v>9</v>
      </c>
      <c r="I1422" s="15">
        <f>YEAR(tblClean[[#This Row],[Date]])</f>
        <v>2024</v>
      </c>
    </row>
    <row r="1423" spans="1:9" x14ac:dyDescent="0.25">
      <c r="A1423" s="7">
        <v>45562</v>
      </c>
      <c r="B1423" s="2" t="s">
        <v>2852</v>
      </c>
      <c r="C1423" s="4" t="str">
        <f>TRIM(CLEAN(PROPER(tblClean[[#This Row],[Transaction Description]])))</f>
        <v>On Must Certainly.</v>
      </c>
      <c r="D1423" s="2" t="s">
        <v>22</v>
      </c>
      <c r="E1423" s="3" t="str">
        <f>TRIM(CLEAN(PROPER(tblClean[[#This Row],[Category]])))</f>
        <v>Shopping</v>
      </c>
      <c r="F1423" s="11" t="s">
        <v>2853</v>
      </c>
      <c r="G1423" s="2" t="s">
        <v>8</v>
      </c>
      <c r="H1423" s="15">
        <f>MONTH(tblClean[[#This Row],[Date]])</f>
        <v>9</v>
      </c>
      <c r="I1423" s="15">
        <f>YEAR(tblClean[[#This Row],[Date]])</f>
        <v>2024</v>
      </c>
    </row>
    <row r="1424" spans="1:9" x14ac:dyDescent="0.25">
      <c r="A1424" s="7">
        <v>45566</v>
      </c>
      <c r="B1424" s="2" t="s">
        <v>2856</v>
      </c>
      <c r="C1424" s="4" t="str">
        <f>TRIM(CLEAN(PROPER(tblClean[[#This Row],[Transaction Description]])))</f>
        <v>Price Certain Down Standard Nice.</v>
      </c>
      <c r="D1424" s="2" t="s">
        <v>16</v>
      </c>
      <c r="E1424" s="3" t="str">
        <f>TRIM(CLEAN(PROPER(tblClean[[#This Row],[Category]])))</f>
        <v>Investment</v>
      </c>
      <c r="F1424" s="11" t="s">
        <v>2857</v>
      </c>
      <c r="G1424" s="2" t="s">
        <v>18</v>
      </c>
      <c r="H1424" s="15">
        <f>MONTH(tblClean[[#This Row],[Date]])</f>
        <v>10</v>
      </c>
      <c r="I1424" s="15">
        <f>YEAR(tblClean[[#This Row],[Date]])</f>
        <v>2024</v>
      </c>
    </row>
    <row r="1425" spans="1:9" x14ac:dyDescent="0.25">
      <c r="A1425" s="6">
        <v>45566</v>
      </c>
      <c r="B1425" s="1" t="s">
        <v>2854</v>
      </c>
      <c r="C1425" s="3" t="str">
        <f>TRIM(CLEAN(PROPER(tblClean[[#This Row],[Transaction Description]])))</f>
        <v>Owner Fact Wife.</v>
      </c>
      <c r="D1425" s="1" t="s">
        <v>22</v>
      </c>
      <c r="E1425" s="3" t="str">
        <f>TRIM(CLEAN(PROPER(tblClean[[#This Row],[Category]])))</f>
        <v>Shopping</v>
      </c>
      <c r="F1425" s="10" t="s">
        <v>2855</v>
      </c>
      <c r="G1425" s="1" t="s">
        <v>8</v>
      </c>
      <c r="H1425" s="15">
        <f>MONTH(tblClean[[#This Row],[Date]])</f>
        <v>10</v>
      </c>
      <c r="I1425" s="15">
        <f>YEAR(tblClean[[#This Row],[Date]])</f>
        <v>2024</v>
      </c>
    </row>
    <row r="1426" spans="1:9" x14ac:dyDescent="0.25">
      <c r="A1426" s="7">
        <v>45567</v>
      </c>
      <c r="B1426" s="2" t="s">
        <v>2860</v>
      </c>
      <c r="C1426" s="4" t="str">
        <f>TRIM(CLEAN(PROPER(tblClean[[#This Row],[Transaction Description]])))</f>
        <v>Country Little Reality Level.</v>
      </c>
      <c r="D1426" s="2" t="s">
        <v>22</v>
      </c>
      <c r="E1426" s="3" t="str">
        <f>TRIM(CLEAN(PROPER(tblClean[[#This Row],[Category]])))</f>
        <v>Shopping</v>
      </c>
      <c r="F1426" s="11" t="s">
        <v>2861</v>
      </c>
      <c r="G1426" s="2" t="s">
        <v>8</v>
      </c>
      <c r="H1426" s="15">
        <f>MONTH(tblClean[[#This Row],[Date]])</f>
        <v>10</v>
      </c>
      <c r="I1426" s="15">
        <f>YEAR(tblClean[[#This Row],[Date]])</f>
        <v>2024</v>
      </c>
    </row>
    <row r="1427" spans="1:9" x14ac:dyDescent="0.25">
      <c r="A1427" s="6">
        <v>45567</v>
      </c>
      <c r="B1427" s="1" t="s">
        <v>2858</v>
      </c>
      <c r="C1427" s="3" t="str">
        <f>TRIM(CLEAN(PROPER(tblClean[[#This Row],[Transaction Description]])))</f>
        <v>Gas With Policy Cut.</v>
      </c>
      <c r="D1427" s="1" t="s">
        <v>53</v>
      </c>
      <c r="E1427" s="3" t="str">
        <f>TRIM(CLEAN(PROPER(tblClean[[#This Row],[Category]])))</f>
        <v>Travel</v>
      </c>
      <c r="F1427" s="10" t="s">
        <v>2859</v>
      </c>
      <c r="G1427" s="1" t="s">
        <v>8</v>
      </c>
      <c r="H1427" s="15">
        <f>MONTH(tblClean[[#This Row],[Date]])</f>
        <v>10</v>
      </c>
      <c r="I1427" s="15">
        <f>YEAR(tblClean[[#This Row],[Date]])</f>
        <v>2024</v>
      </c>
    </row>
    <row r="1428" spans="1:9" x14ac:dyDescent="0.25">
      <c r="A1428" s="6">
        <v>45568</v>
      </c>
      <c r="B1428" s="1" t="s">
        <v>2862</v>
      </c>
      <c r="C1428" s="3" t="str">
        <f>TRIM(CLEAN(PROPER(tblClean[[#This Row],[Transaction Description]])))</f>
        <v>Not Friend Federal Forget Bit.</v>
      </c>
      <c r="D1428" s="1" t="s">
        <v>10</v>
      </c>
      <c r="E1428" s="3" t="str">
        <f>TRIM(CLEAN(PROPER(tblClean[[#This Row],[Category]])))</f>
        <v>Utilities</v>
      </c>
      <c r="F1428" s="10" t="s">
        <v>2863</v>
      </c>
      <c r="G1428" s="1" t="s">
        <v>8</v>
      </c>
      <c r="H1428" s="15">
        <f>MONTH(tblClean[[#This Row],[Date]])</f>
        <v>10</v>
      </c>
      <c r="I1428" s="15">
        <f>YEAR(tblClean[[#This Row],[Date]])</f>
        <v>2024</v>
      </c>
    </row>
    <row r="1429" spans="1:9" x14ac:dyDescent="0.25">
      <c r="A1429" s="7">
        <v>45569</v>
      </c>
      <c r="B1429" s="2" t="s">
        <v>2864</v>
      </c>
      <c r="C1429" s="4" t="str">
        <f>TRIM(CLEAN(PROPER(tblClean[[#This Row],[Transaction Description]])))</f>
        <v>Detail About Development Discover.</v>
      </c>
      <c r="D1429" s="2" t="s">
        <v>27</v>
      </c>
      <c r="E1429" s="3" t="str">
        <f>TRIM(CLEAN(PROPER(tblClean[[#This Row],[Category]])))</f>
        <v>Other</v>
      </c>
      <c r="F1429" s="11" t="s">
        <v>2865</v>
      </c>
      <c r="G1429" s="2" t="s">
        <v>18</v>
      </c>
      <c r="H1429" s="15">
        <f>MONTH(tblClean[[#This Row],[Date]])</f>
        <v>10</v>
      </c>
      <c r="I1429" s="15">
        <f>YEAR(tblClean[[#This Row],[Date]])</f>
        <v>2024</v>
      </c>
    </row>
    <row r="1430" spans="1:9" x14ac:dyDescent="0.25">
      <c r="A1430" s="6">
        <v>45569</v>
      </c>
      <c r="B1430" s="1" t="s">
        <v>2866</v>
      </c>
      <c r="C1430" s="3" t="str">
        <f>TRIM(CLEAN(PROPER(tblClean[[#This Row],[Transaction Description]])))</f>
        <v>Lose Shoulder Spring.</v>
      </c>
      <c r="D1430" s="1" t="s">
        <v>27</v>
      </c>
      <c r="E1430" s="3" t="str">
        <f>TRIM(CLEAN(PROPER(tblClean[[#This Row],[Category]])))</f>
        <v>Other</v>
      </c>
      <c r="F1430" s="10" t="s">
        <v>2867</v>
      </c>
      <c r="G1430" s="1" t="s">
        <v>18</v>
      </c>
      <c r="H1430" s="15">
        <f>MONTH(tblClean[[#This Row],[Date]])</f>
        <v>10</v>
      </c>
      <c r="I1430" s="15">
        <f>YEAR(tblClean[[#This Row],[Date]])</f>
        <v>2024</v>
      </c>
    </row>
    <row r="1431" spans="1:9" x14ac:dyDescent="0.25">
      <c r="A1431" s="7">
        <v>45572</v>
      </c>
      <c r="B1431" s="2" t="s">
        <v>2868</v>
      </c>
      <c r="C1431" s="4" t="str">
        <f>TRIM(CLEAN(PROPER(tblClean[[#This Row],[Transaction Description]])))</f>
        <v>Hundred Step According.</v>
      </c>
      <c r="D1431" s="2" t="s">
        <v>6</v>
      </c>
      <c r="E1431" s="3" t="str">
        <f>TRIM(CLEAN(PROPER(tblClean[[#This Row],[Category]])))</f>
        <v>Food &amp; Drink</v>
      </c>
      <c r="F1431" s="11" t="s">
        <v>2869</v>
      </c>
      <c r="G1431" s="2" t="s">
        <v>8</v>
      </c>
      <c r="H1431" s="15">
        <f>MONTH(tblClean[[#This Row],[Date]])</f>
        <v>10</v>
      </c>
      <c r="I1431" s="15">
        <f>YEAR(tblClean[[#This Row],[Date]])</f>
        <v>2024</v>
      </c>
    </row>
    <row r="1432" spans="1:9" x14ac:dyDescent="0.25">
      <c r="A1432" s="6">
        <v>45573</v>
      </c>
      <c r="B1432" s="1" t="s">
        <v>2870</v>
      </c>
      <c r="C1432" s="3" t="str">
        <f>TRIM(CLEAN(PROPER(tblClean[[#This Row],[Transaction Description]])))</f>
        <v>Group Never.</v>
      </c>
      <c r="D1432" s="1" t="s">
        <v>6</v>
      </c>
      <c r="E1432" s="3" t="str">
        <f>TRIM(CLEAN(PROPER(tblClean[[#This Row],[Category]])))</f>
        <v>Food &amp; Drink</v>
      </c>
      <c r="F1432" s="10" t="s">
        <v>2871</v>
      </c>
      <c r="G1432" s="1" t="s">
        <v>8</v>
      </c>
      <c r="H1432" s="15">
        <f>MONTH(tblClean[[#This Row],[Date]])</f>
        <v>10</v>
      </c>
      <c r="I1432" s="15">
        <f>YEAR(tblClean[[#This Row],[Date]])</f>
        <v>2024</v>
      </c>
    </row>
    <row r="1433" spans="1:9" x14ac:dyDescent="0.25">
      <c r="A1433" s="7">
        <v>45574</v>
      </c>
      <c r="B1433" s="2" t="s">
        <v>2872</v>
      </c>
      <c r="C1433" s="4" t="str">
        <f>TRIM(CLEAN(PROPER(tblClean[[#This Row],[Transaction Description]])))</f>
        <v>Key Place Tree.</v>
      </c>
      <c r="D1433" s="2" t="s">
        <v>13</v>
      </c>
      <c r="E1433" s="3" t="str">
        <f>TRIM(CLEAN(PROPER(tblClean[[#This Row],[Category]])))</f>
        <v>Rent</v>
      </c>
      <c r="F1433" s="11" t="s">
        <v>2873</v>
      </c>
      <c r="G1433" s="2" t="s">
        <v>8</v>
      </c>
      <c r="H1433" s="15">
        <f>MONTH(tblClean[[#This Row],[Date]])</f>
        <v>10</v>
      </c>
      <c r="I1433" s="15">
        <f>YEAR(tblClean[[#This Row],[Date]])</f>
        <v>2024</v>
      </c>
    </row>
    <row r="1434" spans="1:9" x14ac:dyDescent="0.25">
      <c r="A1434" s="6">
        <v>45575</v>
      </c>
      <c r="B1434" s="1" t="s">
        <v>2874</v>
      </c>
      <c r="C1434" s="3" t="str">
        <f>TRIM(CLEAN(PROPER(tblClean[[#This Row],[Transaction Description]])))</f>
        <v>Wish Current.</v>
      </c>
      <c r="D1434" s="1" t="s">
        <v>35</v>
      </c>
      <c r="E1434" s="3" t="str">
        <f>TRIM(CLEAN(PROPER(tblClean[[#This Row],[Category]])))</f>
        <v>Health &amp; Fitness</v>
      </c>
      <c r="F1434" s="10" t="s">
        <v>2875</v>
      </c>
      <c r="G1434" s="1" t="s">
        <v>8</v>
      </c>
      <c r="H1434" s="15">
        <f>MONTH(tblClean[[#This Row],[Date]])</f>
        <v>10</v>
      </c>
      <c r="I1434" s="15">
        <f>YEAR(tblClean[[#This Row],[Date]])</f>
        <v>2024</v>
      </c>
    </row>
    <row r="1435" spans="1:9" x14ac:dyDescent="0.25">
      <c r="A1435" s="7">
        <v>45575</v>
      </c>
      <c r="B1435" s="2" t="s">
        <v>2876</v>
      </c>
      <c r="C1435" s="4" t="str">
        <f>TRIM(CLEAN(PROPER(tblClean[[#This Row],[Transaction Description]])))</f>
        <v>Despite Energy Company.</v>
      </c>
      <c r="D1435" s="2" t="s">
        <v>53</v>
      </c>
      <c r="E1435" s="3" t="str">
        <f>TRIM(CLEAN(PROPER(tblClean[[#This Row],[Category]])))</f>
        <v>Travel</v>
      </c>
      <c r="F1435" s="11" t="s">
        <v>2877</v>
      </c>
      <c r="G1435" s="2" t="s">
        <v>8</v>
      </c>
      <c r="H1435" s="15">
        <f>MONTH(tblClean[[#This Row],[Date]])</f>
        <v>10</v>
      </c>
      <c r="I1435" s="15">
        <f>YEAR(tblClean[[#This Row],[Date]])</f>
        <v>2024</v>
      </c>
    </row>
    <row r="1436" spans="1:9" x14ac:dyDescent="0.25">
      <c r="A1436" s="6">
        <v>45576</v>
      </c>
      <c r="B1436" s="1" t="s">
        <v>2878</v>
      </c>
      <c r="C1436" s="3" t="str">
        <f>TRIM(CLEAN(PROPER(tblClean[[#This Row],[Transaction Description]])))</f>
        <v>Condition Again Successful.</v>
      </c>
      <c r="D1436" s="1" t="s">
        <v>35</v>
      </c>
      <c r="E1436" s="3" t="str">
        <f>TRIM(CLEAN(PROPER(tblClean[[#This Row],[Category]])))</f>
        <v>Health &amp; Fitness</v>
      </c>
      <c r="F1436" s="10" t="s">
        <v>2879</v>
      </c>
      <c r="G1436" s="1" t="s">
        <v>8</v>
      </c>
      <c r="H1436" s="15">
        <f>MONTH(tblClean[[#This Row],[Date]])</f>
        <v>10</v>
      </c>
      <c r="I1436" s="15">
        <f>YEAR(tblClean[[#This Row],[Date]])</f>
        <v>2024</v>
      </c>
    </row>
    <row r="1437" spans="1:9" x14ac:dyDescent="0.25">
      <c r="A1437" s="7">
        <v>45577</v>
      </c>
      <c r="B1437" s="2" t="s">
        <v>2880</v>
      </c>
      <c r="C1437" s="4" t="str">
        <f>TRIM(CLEAN(PROPER(tblClean[[#This Row],[Transaction Description]])))</f>
        <v>Story Case.</v>
      </c>
      <c r="D1437" s="2" t="s">
        <v>30</v>
      </c>
      <c r="E1437" s="3" t="str">
        <f>TRIM(CLEAN(PROPER(tblClean[[#This Row],[Category]])))</f>
        <v>Entertainment</v>
      </c>
      <c r="F1437" s="11" t="s">
        <v>2881</v>
      </c>
      <c r="G1437" s="2" t="s">
        <v>8</v>
      </c>
      <c r="H1437" s="15">
        <f>MONTH(tblClean[[#This Row],[Date]])</f>
        <v>10</v>
      </c>
      <c r="I1437" s="15">
        <f>YEAR(tblClean[[#This Row],[Date]])</f>
        <v>2024</v>
      </c>
    </row>
    <row r="1438" spans="1:9" x14ac:dyDescent="0.25">
      <c r="A1438" s="6">
        <v>45580</v>
      </c>
      <c r="B1438" s="1" t="s">
        <v>2882</v>
      </c>
      <c r="C1438" s="3" t="str">
        <f>TRIM(CLEAN(PROPER(tblClean[[#This Row],[Transaction Description]])))</f>
        <v>Very Figure Drive Special.</v>
      </c>
      <c r="D1438" s="1" t="s">
        <v>10</v>
      </c>
      <c r="E1438" s="3" t="str">
        <f>TRIM(CLEAN(PROPER(tblClean[[#This Row],[Category]])))</f>
        <v>Utilities</v>
      </c>
      <c r="F1438" s="10" t="s">
        <v>2883</v>
      </c>
      <c r="G1438" s="1" t="s">
        <v>8</v>
      </c>
      <c r="H1438" s="15">
        <f>MONTH(tblClean[[#This Row],[Date]])</f>
        <v>10</v>
      </c>
      <c r="I1438" s="15">
        <f>YEAR(tblClean[[#This Row],[Date]])</f>
        <v>2024</v>
      </c>
    </row>
    <row r="1439" spans="1:9" x14ac:dyDescent="0.25">
      <c r="A1439" s="7">
        <v>45582</v>
      </c>
      <c r="B1439" s="2" t="s">
        <v>2884</v>
      </c>
      <c r="C1439" s="4" t="str">
        <f>TRIM(CLEAN(PROPER(tblClean[[#This Row],[Transaction Description]])))</f>
        <v>With Young Think There Assume.</v>
      </c>
      <c r="D1439" s="2" t="s">
        <v>35</v>
      </c>
      <c r="E1439" s="3" t="str">
        <f>TRIM(CLEAN(PROPER(tblClean[[#This Row],[Category]])))</f>
        <v>Health &amp; Fitness</v>
      </c>
      <c r="F1439" s="11" t="s">
        <v>2885</v>
      </c>
      <c r="G1439" s="2" t="s">
        <v>8</v>
      </c>
      <c r="H1439" s="15">
        <f>MONTH(tblClean[[#This Row],[Date]])</f>
        <v>10</v>
      </c>
      <c r="I1439" s="15">
        <f>YEAR(tblClean[[#This Row],[Date]])</f>
        <v>2024</v>
      </c>
    </row>
    <row r="1440" spans="1:9" x14ac:dyDescent="0.25">
      <c r="A1440" s="6">
        <v>45582</v>
      </c>
      <c r="B1440" s="1" t="s">
        <v>2886</v>
      </c>
      <c r="C1440" s="3" t="str">
        <f>TRIM(CLEAN(PROPER(tblClean[[#This Row],[Transaction Description]])))</f>
        <v>Some Court Her.</v>
      </c>
      <c r="D1440" s="1" t="s">
        <v>38</v>
      </c>
      <c r="E1440" s="3" t="str">
        <f>TRIM(CLEAN(PROPER(tblClean[[#This Row],[Category]])))</f>
        <v>Salary</v>
      </c>
      <c r="F1440" s="10" t="s">
        <v>2887</v>
      </c>
      <c r="G1440" s="1" t="s">
        <v>8</v>
      </c>
      <c r="H1440" s="15">
        <f>MONTH(tblClean[[#This Row],[Date]])</f>
        <v>10</v>
      </c>
      <c r="I1440" s="15">
        <f>YEAR(tblClean[[#This Row],[Date]])</f>
        <v>2024</v>
      </c>
    </row>
    <row r="1441" spans="1:9" x14ac:dyDescent="0.25">
      <c r="A1441" s="7">
        <v>45583</v>
      </c>
      <c r="B1441" s="2" t="s">
        <v>2888</v>
      </c>
      <c r="C1441" s="4" t="str">
        <f>TRIM(CLEAN(PROPER(tblClean[[#This Row],[Transaction Description]])))</f>
        <v>Outside With Each Animal.</v>
      </c>
      <c r="D1441" s="2" t="s">
        <v>53</v>
      </c>
      <c r="E1441" s="3" t="str">
        <f>TRIM(CLEAN(PROPER(tblClean[[#This Row],[Category]])))</f>
        <v>Travel</v>
      </c>
      <c r="F1441" s="11" t="s">
        <v>2889</v>
      </c>
      <c r="G1441" s="2" t="s">
        <v>8</v>
      </c>
      <c r="H1441" s="15">
        <f>MONTH(tblClean[[#This Row],[Date]])</f>
        <v>10</v>
      </c>
      <c r="I1441" s="15">
        <f>YEAR(tblClean[[#This Row],[Date]])</f>
        <v>2024</v>
      </c>
    </row>
    <row r="1442" spans="1:9" x14ac:dyDescent="0.25">
      <c r="A1442" s="7">
        <v>45584</v>
      </c>
      <c r="B1442" s="2" t="s">
        <v>2892</v>
      </c>
      <c r="C1442" s="4" t="str">
        <f>TRIM(CLEAN(PROPER(tblClean[[#This Row],[Transaction Description]])))</f>
        <v>Picture Evidence.</v>
      </c>
      <c r="D1442" s="2" t="s">
        <v>22</v>
      </c>
      <c r="E1442" s="3" t="str">
        <f>TRIM(CLEAN(PROPER(tblClean[[#This Row],[Category]])))</f>
        <v>Shopping</v>
      </c>
      <c r="F1442" s="11" t="s">
        <v>2893</v>
      </c>
      <c r="G1442" s="2" t="s">
        <v>8</v>
      </c>
      <c r="H1442" s="15">
        <f>MONTH(tblClean[[#This Row],[Date]])</f>
        <v>10</v>
      </c>
      <c r="I1442" s="15">
        <f>YEAR(tblClean[[#This Row],[Date]])</f>
        <v>2024</v>
      </c>
    </row>
    <row r="1443" spans="1:9" x14ac:dyDescent="0.25">
      <c r="A1443" s="6">
        <v>45584</v>
      </c>
      <c r="B1443" s="1" t="s">
        <v>2890</v>
      </c>
      <c r="C1443" s="3" t="str">
        <f>TRIM(CLEAN(PROPER(tblClean[[#This Row],[Transaction Description]])))</f>
        <v>Take Family Chance.</v>
      </c>
      <c r="D1443" s="1" t="s">
        <v>10</v>
      </c>
      <c r="E1443" s="3" t="str">
        <f>TRIM(CLEAN(PROPER(tblClean[[#This Row],[Category]])))</f>
        <v>Utilities</v>
      </c>
      <c r="F1443" s="10" t="s">
        <v>2891</v>
      </c>
      <c r="G1443" s="1" t="s">
        <v>8</v>
      </c>
      <c r="H1443" s="15">
        <f>MONTH(tblClean[[#This Row],[Date]])</f>
        <v>10</v>
      </c>
      <c r="I1443" s="15">
        <f>YEAR(tblClean[[#This Row],[Date]])</f>
        <v>2024</v>
      </c>
    </row>
    <row r="1444" spans="1:9" x14ac:dyDescent="0.25">
      <c r="A1444" s="7">
        <v>45586</v>
      </c>
      <c r="B1444" s="2" t="s">
        <v>2896</v>
      </c>
      <c r="C1444" s="4" t="str">
        <f>TRIM(CLEAN(PROPER(tblClean[[#This Row],[Transaction Description]])))</f>
        <v>Meet Seem Population.</v>
      </c>
      <c r="D1444" s="2" t="s">
        <v>35</v>
      </c>
      <c r="E1444" s="3" t="str">
        <f>TRIM(CLEAN(PROPER(tblClean[[#This Row],[Category]])))</f>
        <v>Health &amp; Fitness</v>
      </c>
      <c r="F1444" s="11" t="s">
        <v>2897</v>
      </c>
      <c r="G1444" s="2" t="s">
        <v>8</v>
      </c>
      <c r="H1444" s="15">
        <f>MONTH(tblClean[[#This Row],[Date]])</f>
        <v>10</v>
      </c>
      <c r="I1444" s="15">
        <f>YEAR(tblClean[[#This Row],[Date]])</f>
        <v>2024</v>
      </c>
    </row>
    <row r="1445" spans="1:9" x14ac:dyDescent="0.25">
      <c r="A1445" s="6">
        <v>45586</v>
      </c>
      <c r="B1445" s="1" t="s">
        <v>2894</v>
      </c>
      <c r="C1445" s="3" t="str">
        <f>TRIM(CLEAN(PROPER(tblClean[[#This Row],[Transaction Description]])))</f>
        <v>Why Though Decide Bank Likely.</v>
      </c>
      <c r="D1445" s="1" t="s">
        <v>13</v>
      </c>
      <c r="E1445" s="3" t="str">
        <f>TRIM(CLEAN(PROPER(tblClean[[#This Row],[Category]])))</f>
        <v>Rent</v>
      </c>
      <c r="F1445" s="10" t="s">
        <v>2895</v>
      </c>
      <c r="G1445" s="1" t="s">
        <v>8</v>
      </c>
      <c r="H1445" s="15">
        <f>MONTH(tblClean[[#This Row],[Date]])</f>
        <v>10</v>
      </c>
      <c r="I1445" s="15">
        <f>YEAR(tblClean[[#This Row],[Date]])</f>
        <v>2024</v>
      </c>
    </row>
    <row r="1446" spans="1:9" x14ac:dyDescent="0.25">
      <c r="A1446" s="6">
        <v>45586</v>
      </c>
      <c r="B1446" s="1" t="s">
        <v>2898</v>
      </c>
      <c r="C1446" s="3" t="str">
        <f>TRIM(CLEAN(PROPER(tblClean[[#This Row],[Transaction Description]])))</f>
        <v>Material Less Focus Hear.</v>
      </c>
      <c r="D1446" s="1" t="s">
        <v>53</v>
      </c>
      <c r="E1446" s="3" t="str">
        <f>TRIM(CLEAN(PROPER(tblClean[[#This Row],[Category]])))</f>
        <v>Travel</v>
      </c>
      <c r="F1446" s="10" t="s">
        <v>2899</v>
      </c>
      <c r="G1446" s="1" t="s">
        <v>8</v>
      </c>
      <c r="H1446" s="15">
        <f>MONTH(tblClean[[#This Row],[Date]])</f>
        <v>10</v>
      </c>
      <c r="I1446" s="15">
        <f>YEAR(tblClean[[#This Row],[Date]])</f>
        <v>2024</v>
      </c>
    </row>
    <row r="1447" spans="1:9" x14ac:dyDescent="0.25">
      <c r="A1447" s="7">
        <v>45588</v>
      </c>
      <c r="B1447" s="2" t="s">
        <v>2900</v>
      </c>
      <c r="C1447" s="4" t="str">
        <f>TRIM(CLEAN(PROPER(tblClean[[#This Row],[Transaction Description]])))</f>
        <v>Listen Ok Point So.</v>
      </c>
      <c r="D1447" s="2" t="s">
        <v>38</v>
      </c>
      <c r="E1447" s="3" t="str">
        <f>TRIM(CLEAN(PROPER(tblClean[[#This Row],[Category]])))</f>
        <v>Salary</v>
      </c>
      <c r="F1447" s="11" t="s">
        <v>2901</v>
      </c>
      <c r="G1447" s="2" t="s">
        <v>8</v>
      </c>
      <c r="H1447" s="15">
        <f>MONTH(tblClean[[#This Row],[Date]])</f>
        <v>10</v>
      </c>
      <c r="I1447" s="15">
        <f>YEAR(tblClean[[#This Row],[Date]])</f>
        <v>2024</v>
      </c>
    </row>
    <row r="1448" spans="1:9" x14ac:dyDescent="0.25">
      <c r="A1448" s="6">
        <v>45589</v>
      </c>
      <c r="B1448" s="1" t="s">
        <v>2902</v>
      </c>
      <c r="C1448" s="3" t="str">
        <f>TRIM(CLEAN(PROPER(tblClean[[#This Row],[Transaction Description]])))</f>
        <v>Detail Data Tell.</v>
      </c>
      <c r="D1448" s="1" t="s">
        <v>38</v>
      </c>
      <c r="E1448" s="3" t="str">
        <f>TRIM(CLEAN(PROPER(tblClean[[#This Row],[Category]])))</f>
        <v>Salary</v>
      </c>
      <c r="F1448" s="10" t="s">
        <v>2903</v>
      </c>
      <c r="G1448" s="1" t="s">
        <v>8</v>
      </c>
      <c r="H1448" s="15">
        <f>MONTH(tblClean[[#This Row],[Date]])</f>
        <v>10</v>
      </c>
      <c r="I1448" s="15">
        <f>YEAR(tblClean[[#This Row],[Date]])</f>
        <v>2024</v>
      </c>
    </row>
    <row r="1449" spans="1:9" x14ac:dyDescent="0.25">
      <c r="A1449" s="7">
        <v>45593</v>
      </c>
      <c r="B1449" s="2" t="s">
        <v>2904</v>
      </c>
      <c r="C1449" s="4" t="str">
        <f>TRIM(CLEAN(PROPER(tblClean[[#This Row],[Transaction Description]])))</f>
        <v>Fill Thousand Number.</v>
      </c>
      <c r="D1449" s="2" t="s">
        <v>16</v>
      </c>
      <c r="E1449" s="3" t="str">
        <f>TRIM(CLEAN(PROPER(tblClean[[#This Row],[Category]])))</f>
        <v>Investment</v>
      </c>
      <c r="F1449" s="11" t="s">
        <v>2905</v>
      </c>
      <c r="G1449" s="2" t="s">
        <v>18</v>
      </c>
      <c r="H1449" s="15">
        <f>MONTH(tblClean[[#This Row],[Date]])</f>
        <v>10</v>
      </c>
      <c r="I1449" s="15">
        <f>YEAR(tblClean[[#This Row],[Date]])</f>
        <v>2024</v>
      </c>
    </row>
    <row r="1450" spans="1:9" x14ac:dyDescent="0.25">
      <c r="A1450" s="6">
        <v>45597</v>
      </c>
      <c r="B1450" s="1" t="s">
        <v>2906</v>
      </c>
      <c r="C1450" s="3" t="str">
        <f>TRIM(CLEAN(PROPER(tblClean[[#This Row],[Transaction Description]])))</f>
        <v>Nearly Care Base.</v>
      </c>
      <c r="D1450" s="1" t="s">
        <v>53</v>
      </c>
      <c r="E1450" s="3" t="str">
        <f>TRIM(CLEAN(PROPER(tblClean[[#This Row],[Category]])))</f>
        <v>Travel</v>
      </c>
      <c r="F1450" s="10" t="s">
        <v>2907</v>
      </c>
      <c r="G1450" s="1" t="s">
        <v>8</v>
      </c>
      <c r="H1450" s="15">
        <f>MONTH(tblClean[[#This Row],[Date]])</f>
        <v>11</v>
      </c>
      <c r="I1450" s="15">
        <f>YEAR(tblClean[[#This Row],[Date]])</f>
        <v>2024</v>
      </c>
    </row>
    <row r="1451" spans="1:9" x14ac:dyDescent="0.25">
      <c r="A1451" s="7">
        <v>45598</v>
      </c>
      <c r="B1451" s="2" t="s">
        <v>2908</v>
      </c>
      <c r="C1451" s="4" t="str">
        <f>TRIM(CLEAN(PROPER(tblClean[[#This Row],[Transaction Description]])))</f>
        <v>Goal Once Let Perform International.</v>
      </c>
      <c r="D1451" s="2" t="s">
        <v>13</v>
      </c>
      <c r="E1451" s="3" t="str">
        <f>TRIM(CLEAN(PROPER(tblClean[[#This Row],[Category]])))</f>
        <v>Rent</v>
      </c>
      <c r="F1451" s="11" t="s">
        <v>2909</v>
      </c>
      <c r="G1451" s="2" t="s">
        <v>8</v>
      </c>
      <c r="H1451" s="15">
        <f>MONTH(tblClean[[#This Row],[Date]])</f>
        <v>11</v>
      </c>
      <c r="I1451" s="15">
        <f>YEAR(tblClean[[#This Row],[Date]])</f>
        <v>2024</v>
      </c>
    </row>
    <row r="1452" spans="1:9" x14ac:dyDescent="0.25">
      <c r="A1452" s="7">
        <v>45599</v>
      </c>
      <c r="B1452" s="2" t="s">
        <v>2912</v>
      </c>
      <c r="C1452" s="4" t="str">
        <f>TRIM(CLEAN(PROPER(tblClean[[#This Row],[Transaction Description]])))</f>
        <v>Doctor Population Grow Bar.</v>
      </c>
      <c r="D1452" s="2" t="s">
        <v>6</v>
      </c>
      <c r="E1452" s="3" t="str">
        <f>TRIM(CLEAN(PROPER(tblClean[[#This Row],[Category]])))</f>
        <v>Food &amp; Drink</v>
      </c>
      <c r="F1452" s="11" t="s">
        <v>2913</v>
      </c>
      <c r="G1452" s="2" t="s">
        <v>8</v>
      </c>
      <c r="H1452" s="15">
        <f>MONTH(tblClean[[#This Row],[Date]])</f>
        <v>11</v>
      </c>
      <c r="I1452" s="15">
        <f>YEAR(tblClean[[#This Row],[Date]])</f>
        <v>2024</v>
      </c>
    </row>
    <row r="1453" spans="1:9" x14ac:dyDescent="0.25">
      <c r="A1453" s="6">
        <v>45599</v>
      </c>
      <c r="B1453" s="1" t="s">
        <v>2910</v>
      </c>
      <c r="C1453" s="3" t="str">
        <f>TRIM(CLEAN(PROPER(tblClean[[#This Row],[Transaction Description]])))</f>
        <v>Important Source First Him.</v>
      </c>
      <c r="D1453" s="1" t="s">
        <v>13</v>
      </c>
      <c r="E1453" s="3" t="str">
        <f>TRIM(CLEAN(PROPER(tblClean[[#This Row],[Category]])))</f>
        <v>Rent</v>
      </c>
      <c r="F1453" s="10" t="s">
        <v>2911</v>
      </c>
      <c r="G1453" s="1" t="s">
        <v>8</v>
      </c>
      <c r="H1453" s="15">
        <f>MONTH(tblClean[[#This Row],[Date]])</f>
        <v>11</v>
      </c>
      <c r="I1453" s="15">
        <f>YEAR(tblClean[[#This Row],[Date]])</f>
        <v>2024</v>
      </c>
    </row>
    <row r="1454" spans="1:9" x14ac:dyDescent="0.25">
      <c r="A1454" s="6">
        <v>45607</v>
      </c>
      <c r="B1454" s="1" t="s">
        <v>2914</v>
      </c>
      <c r="C1454" s="3" t="str">
        <f>TRIM(CLEAN(PROPER(tblClean[[#This Row],[Transaction Description]])))</f>
        <v>National Back Everybody Direction Budget.</v>
      </c>
      <c r="D1454" s="1" t="s">
        <v>13</v>
      </c>
      <c r="E1454" s="3" t="str">
        <f>TRIM(CLEAN(PROPER(tblClean[[#This Row],[Category]])))</f>
        <v>Rent</v>
      </c>
      <c r="F1454" s="10" t="s">
        <v>2915</v>
      </c>
      <c r="G1454" s="1" t="s">
        <v>8</v>
      </c>
      <c r="H1454" s="15">
        <f>MONTH(tblClean[[#This Row],[Date]])</f>
        <v>11</v>
      </c>
      <c r="I1454" s="15">
        <f>YEAR(tblClean[[#This Row],[Date]])</f>
        <v>2024</v>
      </c>
    </row>
    <row r="1455" spans="1:9" x14ac:dyDescent="0.25">
      <c r="A1455" s="7">
        <v>45607</v>
      </c>
      <c r="B1455" s="2" t="s">
        <v>2916</v>
      </c>
      <c r="C1455" s="4" t="str">
        <f>TRIM(CLEAN(PROPER(tblClean[[#This Row],[Transaction Description]])))</f>
        <v>National Free.</v>
      </c>
      <c r="D1455" s="2" t="s">
        <v>13</v>
      </c>
      <c r="E1455" s="3" t="str">
        <f>TRIM(CLEAN(PROPER(tblClean[[#This Row],[Category]])))</f>
        <v>Rent</v>
      </c>
      <c r="F1455" s="11" t="s">
        <v>2917</v>
      </c>
      <c r="G1455" s="2" t="s">
        <v>8</v>
      </c>
      <c r="H1455" s="15">
        <f>MONTH(tblClean[[#This Row],[Date]])</f>
        <v>11</v>
      </c>
      <c r="I1455" s="15">
        <f>YEAR(tblClean[[#This Row],[Date]])</f>
        <v>2024</v>
      </c>
    </row>
    <row r="1456" spans="1:9" x14ac:dyDescent="0.25">
      <c r="A1456" s="6">
        <v>45608</v>
      </c>
      <c r="B1456" s="1" t="s">
        <v>2918</v>
      </c>
      <c r="C1456" s="3" t="str">
        <f>TRIM(CLEAN(PROPER(tblClean[[#This Row],[Transaction Description]])))</f>
        <v>Few Spring Raise.</v>
      </c>
      <c r="D1456" s="1" t="s">
        <v>53</v>
      </c>
      <c r="E1456" s="3" t="str">
        <f>TRIM(CLEAN(PROPER(tblClean[[#This Row],[Category]])))</f>
        <v>Travel</v>
      </c>
      <c r="F1456" s="10" t="s">
        <v>2919</v>
      </c>
      <c r="G1456" s="1" t="s">
        <v>8</v>
      </c>
      <c r="H1456" s="15">
        <f>MONTH(tblClean[[#This Row],[Date]])</f>
        <v>11</v>
      </c>
      <c r="I1456" s="15">
        <f>YEAR(tblClean[[#This Row],[Date]])</f>
        <v>2024</v>
      </c>
    </row>
    <row r="1457" spans="1:9" x14ac:dyDescent="0.25">
      <c r="A1457" s="6">
        <v>45609</v>
      </c>
      <c r="B1457" s="1" t="s">
        <v>2922</v>
      </c>
      <c r="C1457" s="3" t="str">
        <f>TRIM(CLEAN(PROPER(tblClean[[#This Row],[Transaction Description]])))</f>
        <v>Across Federal State.</v>
      </c>
      <c r="D1457" s="1" t="s">
        <v>16</v>
      </c>
      <c r="E1457" s="3" t="str">
        <f>TRIM(CLEAN(PROPER(tblClean[[#This Row],[Category]])))</f>
        <v>Investment</v>
      </c>
      <c r="F1457" s="10" t="s">
        <v>2923</v>
      </c>
      <c r="G1457" s="1" t="s">
        <v>18</v>
      </c>
      <c r="H1457" s="15">
        <f>MONTH(tblClean[[#This Row],[Date]])</f>
        <v>11</v>
      </c>
      <c r="I1457" s="15">
        <f>YEAR(tblClean[[#This Row],[Date]])</f>
        <v>2024</v>
      </c>
    </row>
    <row r="1458" spans="1:9" x14ac:dyDescent="0.25">
      <c r="A1458" s="7">
        <v>45609</v>
      </c>
      <c r="B1458" s="2" t="s">
        <v>2924</v>
      </c>
      <c r="C1458" s="4" t="str">
        <f>TRIM(CLEAN(PROPER(tblClean[[#This Row],[Transaction Description]])))</f>
        <v>State Serious Activity Pressure.</v>
      </c>
      <c r="D1458" s="2" t="s">
        <v>27</v>
      </c>
      <c r="E1458" s="3" t="str">
        <f>TRIM(CLEAN(PROPER(tblClean[[#This Row],[Category]])))</f>
        <v>Other</v>
      </c>
      <c r="F1458" s="11" t="s">
        <v>2925</v>
      </c>
      <c r="G1458" s="2" t="s">
        <v>18</v>
      </c>
      <c r="H1458" s="15">
        <f>MONTH(tblClean[[#This Row],[Date]])</f>
        <v>11</v>
      </c>
      <c r="I1458" s="15">
        <f>YEAR(tblClean[[#This Row],[Date]])</f>
        <v>2024</v>
      </c>
    </row>
    <row r="1459" spans="1:9" x14ac:dyDescent="0.25">
      <c r="A1459" s="7">
        <v>45609</v>
      </c>
      <c r="B1459" s="2" t="s">
        <v>2920</v>
      </c>
      <c r="C1459" s="4" t="str">
        <f>TRIM(CLEAN(PROPER(tblClean[[#This Row],[Transaction Description]])))</f>
        <v>Relationship Your Your.</v>
      </c>
      <c r="D1459" s="2" t="s">
        <v>38</v>
      </c>
      <c r="E1459" s="3" t="str">
        <f>TRIM(CLEAN(PROPER(tblClean[[#This Row],[Category]])))</f>
        <v>Salary</v>
      </c>
      <c r="F1459" s="11" t="s">
        <v>2921</v>
      </c>
      <c r="G1459" s="2" t="s">
        <v>8</v>
      </c>
      <c r="H1459" s="15">
        <f>MONTH(tblClean[[#This Row],[Date]])</f>
        <v>11</v>
      </c>
      <c r="I1459" s="15">
        <f>YEAR(tblClean[[#This Row],[Date]])</f>
        <v>2024</v>
      </c>
    </row>
    <row r="1460" spans="1:9" x14ac:dyDescent="0.25">
      <c r="A1460" s="6">
        <v>45609</v>
      </c>
      <c r="B1460" s="1" t="s">
        <v>2926</v>
      </c>
      <c r="C1460" s="3" t="str">
        <f>TRIM(CLEAN(PROPER(tblClean[[#This Row],[Transaction Description]])))</f>
        <v>Dinner Rich Decide Do.</v>
      </c>
      <c r="D1460" s="1" t="s">
        <v>38</v>
      </c>
      <c r="E1460" s="3" t="str">
        <f>TRIM(CLEAN(PROPER(tblClean[[#This Row],[Category]])))</f>
        <v>Salary</v>
      </c>
      <c r="F1460" s="10" t="s">
        <v>2927</v>
      </c>
      <c r="G1460" s="1" t="s">
        <v>8</v>
      </c>
      <c r="H1460" s="15">
        <f>MONTH(tblClean[[#This Row],[Date]])</f>
        <v>11</v>
      </c>
      <c r="I1460" s="15">
        <f>YEAR(tblClean[[#This Row],[Date]])</f>
        <v>2024</v>
      </c>
    </row>
    <row r="1461" spans="1:9" x14ac:dyDescent="0.25">
      <c r="A1461" s="6">
        <v>45610</v>
      </c>
      <c r="B1461" s="1" t="s">
        <v>2930</v>
      </c>
      <c r="C1461" s="3" t="str">
        <f>TRIM(CLEAN(PROPER(tblClean[[#This Row],[Transaction Description]])))</f>
        <v>Show Recently Decide Last.</v>
      </c>
      <c r="D1461" s="1" t="s">
        <v>16</v>
      </c>
      <c r="E1461" s="3" t="str">
        <f>TRIM(CLEAN(PROPER(tblClean[[#This Row],[Category]])))</f>
        <v>Investment</v>
      </c>
      <c r="F1461" s="10" t="s">
        <v>2931</v>
      </c>
      <c r="G1461" s="1" t="s">
        <v>18</v>
      </c>
      <c r="H1461" s="15">
        <f>MONTH(tblClean[[#This Row],[Date]])</f>
        <v>11</v>
      </c>
      <c r="I1461" s="15">
        <f>YEAR(tblClean[[#This Row],[Date]])</f>
        <v>2024</v>
      </c>
    </row>
    <row r="1462" spans="1:9" x14ac:dyDescent="0.25">
      <c r="A1462" s="7">
        <v>45610</v>
      </c>
      <c r="B1462" s="2" t="s">
        <v>2928</v>
      </c>
      <c r="C1462" s="4" t="str">
        <f>TRIM(CLEAN(PROPER(tblClean[[#This Row],[Transaction Description]])))</f>
        <v>Serious Reveal Left Social Fine.</v>
      </c>
      <c r="D1462" s="2" t="s">
        <v>53</v>
      </c>
      <c r="E1462" s="3" t="str">
        <f>TRIM(CLEAN(PROPER(tblClean[[#This Row],[Category]])))</f>
        <v>Travel</v>
      </c>
      <c r="F1462" s="11" t="s">
        <v>2929</v>
      </c>
      <c r="G1462" s="2" t="s">
        <v>8</v>
      </c>
      <c r="H1462" s="15">
        <f>MONTH(tblClean[[#This Row],[Date]])</f>
        <v>11</v>
      </c>
      <c r="I1462" s="15">
        <f>YEAR(tblClean[[#This Row],[Date]])</f>
        <v>2024</v>
      </c>
    </row>
    <row r="1463" spans="1:9" x14ac:dyDescent="0.25">
      <c r="A1463" s="7">
        <v>45612</v>
      </c>
      <c r="B1463" s="2" t="s">
        <v>2932</v>
      </c>
      <c r="C1463" s="4" t="str">
        <f>TRIM(CLEAN(PROPER(tblClean[[#This Row],[Transaction Description]])))</f>
        <v>Hear Officer.</v>
      </c>
      <c r="D1463" s="2" t="s">
        <v>22</v>
      </c>
      <c r="E1463" s="3" t="str">
        <f>TRIM(CLEAN(PROPER(tblClean[[#This Row],[Category]])))</f>
        <v>Shopping</v>
      </c>
      <c r="F1463" s="11" t="s">
        <v>2933</v>
      </c>
      <c r="G1463" s="2" t="s">
        <v>8</v>
      </c>
      <c r="H1463" s="15">
        <f>MONTH(tblClean[[#This Row],[Date]])</f>
        <v>11</v>
      </c>
      <c r="I1463" s="15">
        <f>YEAR(tblClean[[#This Row],[Date]])</f>
        <v>2024</v>
      </c>
    </row>
    <row r="1464" spans="1:9" x14ac:dyDescent="0.25">
      <c r="A1464" s="7">
        <v>45613</v>
      </c>
      <c r="B1464" s="2" t="s">
        <v>2936</v>
      </c>
      <c r="C1464" s="4" t="str">
        <f>TRIM(CLEAN(PROPER(tblClean[[#This Row],[Transaction Description]])))</f>
        <v>Different International Sell Several.</v>
      </c>
      <c r="D1464" s="2" t="s">
        <v>30</v>
      </c>
      <c r="E1464" s="3" t="str">
        <f>TRIM(CLEAN(PROPER(tblClean[[#This Row],[Category]])))</f>
        <v>Entertainment</v>
      </c>
      <c r="F1464" s="11" t="s">
        <v>2937</v>
      </c>
      <c r="G1464" s="2" t="s">
        <v>8</v>
      </c>
      <c r="H1464" s="15">
        <f>MONTH(tblClean[[#This Row],[Date]])</f>
        <v>11</v>
      </c>
      <c r="I1464" s="15">
        <f>YEAR(tblClean[[#This Row],[Date]])</f>
        <v>2024</v>
      </c>
    </row>
    <row r="1465" spans="1:9" x14ac:dyDescent="0.25">
      <c r="A1465" s="6">
        <v>45613</v>
      </c>
      <c r="B1465" s="1" t="s">
        <v>2938</v>
      </c>
      <c r="C1465" s="3" t="str">
        <f>TRIM(CLEAN(PROPER(tblClean[[#This Row],[Transaction Description]])))</f>
        <v>For Age Size.</v>
      </c>
      <c r="D1465" s="1" t="s">
        <v>35</v>
      </c>
      <c r="E1465" s="3" t="str">
        <f>TRIM(CLEAN(PROPER(tblClean[[#This Row],[Category]])))</f>
        <v>Health &amp; Fitness</v>
      </c>
      <c r="F1465" s="10" t="s">
        <v>2939</v>
      </c>
      <c r="G1465" s="1" t="s">
        <v>8</v>
      </c>
      <c r="H1465" s="15">
        <f>MONTH(tblClean[[#This Row],[Date]])</f>
        <v>11</v>
      </c>
      <c r="I1465" s="15">
        <f>YEAR(tblClean[[#This Row],[Date]])</f>
        <v>2024</v>
      </c>
    </row>
    <row r="1466" spans="1:9" x14ac:dyDescent="0.25">
      <c r="A1466" s="7">
        <v>45613</v>
      </c>
      <c r="B1466" s="2" t="s">
        <v>2940</v>
      </c>
      <c r="C1466" s="4" t="str">
        <f>TRIM(CLEAN(PROPER(tblClean[[#This Row],[Transaction Description]])))</f>
        <v>With Yes Nothing.</v>
      </c>
      <c r="D1466" s="2" t="s">
        <v>16</v>
      </c>
      <c r="E1466" s="3" t="str">
        <f>TRIM(CLEAN(PROPER(tblClean[[#This Row],[Category]])))</f>
        <v>Investment</v>
      </c>
      <c r="F1466" s="11" t="s">
        <v>2941</v>
      </c>
      <c r="G1466" s="2" t="s">
        <v>18</v>
      </c>
      <c r="H1466" s="15">
        <f>MONTH(tblClean[[#This Row],[Date]])</f>
        <v>11</v>
      </c>
      <c r="I1466" s="15">
        <f>YEAR(tblClean[[#This Row],[Date]])</f>
        <v>2024</v>
      </c>
    </row>
    <row r="1467" spans="1:9" x14ac:dyDescent="0.25">
      <c r="A1467" s="6">
        <v>45613</v>
      </c>
      <c r="B1467" s="1" t="s">
        <v>2934</v>
      </c>
      <c r="C1467" s="3" t="str">
        <f>TRIM(CLEAN(PROPER(tblClean[[#This Row],[Transaction Description]])))</f>
        <v>Wall Act Special.</v>
      </c>
      <c r="D1467" s="1" t="s">
        <v>53</v>
      </c>
      <c r="E1467" s="3" t="str">
        <f>TRIM(CLEAN(PROPER(tblClean[[#This Row],[Category]])))</f>
        <v>Travel</v>
      </c>
      <c r="F1467" s="10" t="s">
        <v>2935</v>
      </c>
      <c r="G1467" s="1" t="s">
        <v>8</v>
      </c>
      <c r="H1467" s="15">
        <f>MONTH(tblClean[[#This Row],[Date]])</f>
        <v>11</v>
      </c>
      <c r="I1467" s="15">
        <f>YEAR(tblClean[[#This Row],[Date]])</f>
        <v>2024</v>
      </c>
    </row>
    <row r="1468" spans="1:9" x14ac:dyDescent="0.25">
      <c r="A1468" s="7">
        <v>45614</v>
      </c>
      <c r="B1468" s="2" t="s">
        <v>2944</v>
      </c>
      <c r="C1468" s="4" t="str">
        <f>TRIM(CLEAN(PROPER(tblClean[[#This Row],[Transaction Description]])))</f>
        <v>Board Notice Later Thus.</v>
      </c>
      <c r="D1468" s="2" t="s">
        <v>6</v>
      </c>
      <c r="E1468" s="3" t="str">
        <f>TRIM(CLEAN(PROPER(tblClean[[#This Row],[Category]])))</f>
        <v>Food &amp; Drink</v>
      </c>
      <c r="F1468" s="11" t="s">
        <v>2945</v>
      </c>
      <c r="G1468" s="2" t="s">
        <v>8</v>
      </c>
      <c r="H1468" s="15">
        <f>MONTH(tblClean[[#This Row],[Date]])</f>
        <v>11</v>
      </c>
      <c r="I1468" s="15">
        <f>YEAR(tblClean[[#This Row],[Date]])</f>
        <v>2024</v>
      </c>
    </row>
    <row r="1469" spans="1:9" x14ac:dyDescent="0.25">
      <c r="A1469" s="6">
        <v>45614</v>
      </c>
      <c r="B1469" s="1" t="s">
        <v>2942</v>
      </c>
      <c r="C1469" s="3" t="str">
        <f>TRIM(CLEAN(PROPER(tblClean[[#This Row],[Transaction Description]])))</f>
        <v>Woman Daughter Hospital Move.</v>
      </c>
      <c r="D1469" s="1" t="s">
        <v>10</v>
      </c>
      <c r="E1469" s="3" t="str">
        <f>TRIM(CLEAN(PROPER(tblClean[[#This Row],[Category]])))</f>
        <v>Utilities</v>
      </c>
      <c r="F1469" s="10" t="s">
        <v>2943</v>
      </c>
      <c r="G1469" s="1" t="s">
        <v>8</v>
      </c>
      <c r="H1469" s="15">
        <f>MONTH(tblClean[[#This Row],[Date]])</f>
        <v>11</v>
      </c>
      <c r="I1469" s="15">
        <f>YEAR(tblClean[[#This Row],[Date]])</f>
        <v>2024</v>
      </c>
    </row>
    <row r="1470" spans="1:9" x14ac:dyDescent="0.25">
      <c r="A1470" s="6">
        <v>45615</v>
      </c>
      <c r="B1470" s="1" t="s">
        <v>2946</v>
      </c>
      <c r="C1470" s="3" t="str">
        <f>TRIM(CLEAN(PROPER(tblClean[[#This Row],[Transaction Description]])))</f>
        <v>Bit Need Allow.</v>
      </c>
      <c r="D1470" s="1" t="s">
        <v>38</v>
      </c>
      <c r="E1470" s="3" t="str">
        <f>TRIM(CLEAN(PROPER(tblClean[[#This Row],[Category]])))</f>
        <v>Salary</v>
      </c>
      <c r="F1470" s="10" t="s">
        <v>2947</v>
      </c>
      <c r="G1470" s="1" t="s">
        <v>8</v>
      </c>
      <c r="H1470" s="15">
        <f>MONTH(tblClean[[#This Row],[Date]])</f>
        <v>11</v>
      </c>
      <c r="I1470" s="15">
        <f>YEAR(tblClean[[#This Row],[Date]])</f>
        <v>2024</v>
      </c>
    </row>
    <row r="1471" spans="1:9" x14ac:dyDescent="0.25">
      <c r="A1471" s="6">
        <v>45616</v>
      </c>
      <c r="B1471" s="1" t="s">
        <v>2950</v>
      </c>
      <c r="C1471" s="3" t="str">
        <f>TRIM(CLEAN(PROPER(tblClean[[#This Row],[Transaction Description]])))</f>
        <v>Day Fact Modern.</v>
      </c>
      <c r="D1471" s="1" t="s">
        <v>35</v>
      </c>
      <c r="E1471" s="3" t="str">
        <f>TRIM(CLEAN(PROPER(tblClean[[#This Row],[Category]])))</f>
        <v>Health &amp; Fitness</v>
      </c>
      <c r="F1471" s="10" t="s">
        <v>2951</v>
      </c>
      <c r="G1471" s="1" t="s">
        <v>8</v>
      </c>
      <c r="H1471" s="15">
        <f>MONTH(tblClean[[#This Row],[Date]])</f>
        <v>11</v>
      </c>
      <c r="I1471" s="15">
        <f>YEAR(tblClean[[#This Row],[Date]])</f>
        <v>2024</v>
      </c>
    </row>
    <row r="1472" spans="1:9" x14ac:dyDescent="0.25">
      <c r="A1472" s="7">
        <v>45616</v>
      </c>
      <c r="B1472" s="2" t="s">
        <v>2948</v>
      </c>
      <c r="C1472" s="4" t="str">
        <f>TRIM(CLEAN(PROPER(tblClean[[#This Row],[Transaction Description]])))</f>
        <v>Cost Attorney.</v>
      </c>
      <c r="D1472" s="2" t="s">
        <v>53</v>
      </c>
      <c r="E1472" s="3" t="str">
        <f>TRIM(CLEAN(PROPER(tblClean[[#This Row],[Category]])))</f>
        <v>Travel</v>
      </c>
      <c r="F1472" s="11" t="s">
        <v>2949</v>
      </c>
      <c r="G1472" s="2" t="s">
        <v>8</v>
      </c>
      <c r="H1472" s="15">
        <f>MONTH(tblClean[[#This Row],[Date]])</f>
        <v>11</v>
      </c>
      <c r="I1472" s="15">
        <f>YEAR(tblClean[[#This Row],[Date]])</f>
        <v>2024</v>
      </c>
    </row>
    <row r="1473" spans="1:9" x14ac:dyDescent="0.25">
      <c r="A1473" s="7">
        <v>45618</v>
      </c>
      <c r="B1473" s="2" t="s">
        <v>2952</v>
      </c>
      <c r="C1473" s="4" t="str">
        <f>TRIM(CLEAN(PROPER(tblClean[[#This Row],[Transaction Description]])))</f>
        <v>Happy Action.</v>
      </c>
      <c r="D1473" s="2" t="s">
        <v>22</v>
      </c>
      <c r="E1473" s="3" t="str">
        <f>TRIM(CLEAN(PROPER(tblClean[[#This Row],[Category]])))</f>
        <v>Shopping</v>
      </c>
      <c r="F1473" s="11" t="s">
        <v>2953</v>
      </c>
      <c r="G1473" s="2" t="s">
        <v>8</v>
      </c>
      <c r="H1473" s="15">
        <f>MONTH(tblClean[[#This Row],[Date]])</f>
        <v>11</v>
      </c>
      <c r="I1473" s="15">
        <f>YEAR(tblClean[[#This Row],[Date]])</f>
        <v>2024</v>
      </c>
    </row>
    <row r="1474" spans="1:9" x14ac:dyDescent="0.25">
      <c r="A1474" s="6">
        <v>45619</v>
      </c>
      <c r="B1474" s="1" t="s">
        <v>2954</v>
      </c>
      <c r="C1474" s="3" t="str">
        <f>TRIM(CLEAN(PROPER(tblClean[[#This Row],[Transaction Description]])))</f>
        <v>Hospital Writer Can Industry.</v>
      </c>
      <c r="D1474" s="1" t="s">
        <v>27</v>
      </c>
      <c r="E1474" s="3" t="str">
        <f>TRIM(CLEAN(PROPER(tblClean[[#This Row],[Category]])))</f>
        <v>Other</v>
      </c>
      <c r="F1474" s="10" t="s">
        <v>2955</v>
      </c>
      <c r="G1474" s="1" t="s">
        <v>18</v>
      </c>
      <c r="H1474" s="15">
        <f>MONTH(tblClean[[#This Row],[Date]])</f>
        <v>11</v>
      </c>
      <c r="I1474" s="15">
        <f>YEAR(tblClean[[#This Row],[Date]])</f>
        <v>2024</v>
      </c>
    </row>
    <row r="1475" spans="1:9" x14ac:dyDescent="0.25">
      <c r="A1475" s="7">
        <v>45620</v>
      </c>
      <c r="B1475" s="2" t="s">
        <v>2956</v>
      </c>
      <c r="C1475" s="4" t="str">
        <f>TRIM(CLEAN(PROPER(tblClean[[#This Row],[Transaction Description]])))</f>
        <v>Western Tend Candidate Day.</v>
      </c>
      <c r="D1475" s="2" t="s">
        <v>13</v>
      </c>
      <c r="E1475" s="3" t="str">
        <f>TRIM(CLEAN(PROPER(tblClean[[#This Row],[Category]])))</f>
        <v>Rent</v>
      </c>
      <c r="F1475" s="11" t="s">
        <v>2957</v>
      </c>
      <c r="G1475" s="2" t="s">
        <v>8</v>
      </c>
      <c r="H1475" s="15">
        <f>MONTH(tblClean[[#This Row],[Date]])</f>
        <v>11</v>
      </c>
      <c r="I1475" s="15">
        <f>YEAR(tblClean[[#This Row],[Date]])</f>
        <v>2024</v>
      </c>
    </row>
    <row r="1476" spans="1:9" x14ac:dyDescent="0.25">
      <c r="A1476" s="6">
        <v>45620</v>
      </c>
      <c r="B1476" s="1" t="s">
        <v>2958</v>
      </c>
      <c r="C1476" s="3" t="str">
        <f>TRIM(CLEAN(PROPER(tblClean[[#This Row],[Transaction Description]])))</f>
        <v>City Offer Financial Data.</v>
      </c>
      <c r="D1476" s="1" t="s">
        <v>53</v>
      </c>
      <c r="E1476" s="3" t="str">
        <f>TRIM(CLEAN(PROPER(tblClean[[#This Row],[Category]])))</f>
        <v>Travel</v>
      </c>
      <c r="F1476" s="10" t="s">
        <v>2959</v>
      </c>
      <c r="G1476" s="1" t="s">
        <v>8</v>
      </c>
      <c r="H1476" s="15">
        <f>MONTH(tblClean[[#This Row],[Date]])</f>
        <v>11</v>
      </c>
      <c r="I1476" s="15">
        <f>YEAR(tblClean[[#This Row],[Date]])</f>
        <v>2024</v>
      </c>
    </row>
    <row r="1477" spans="1:9" x14ac:dyDescent="0.25">
      <c r="A1477" s="7">
        <v>45620</v>
      </c>
      <c r="B1477" s="2" t="s">
        <v>2960</v>
      </c>
      <c r="C1477" s="4" t="str">
        <f>TRIM(CLEAN(PROPER(tblClean[[#This Row],[Transaction Description]])))</f>
        <v>Cut Yard Knowledge.</v>
      </c>
      <c r="D1477" s="2" t="s">
        <v>53</v>
      </c>
      <c r="E1477" s="3" t="str">
        <f>TRIM(CLEAN(PROPER(tblClean[[#This Row],[Category]])))</f>
        <v>Travel</v>
      </c>
      <c r="F1477" s="11" t="s">
        <v>2961</v>
      </c>
      <c r="G1477" s="2" t="s">
        <v>8</v>
      </c>
      <c r="H1477" s="15">
        <f>MONTH(tblClean[[#This Row],[Date]])</f>
        <v>11</v>
      </c>
      <c r="I1477" s="15">
        <f>YEAR(tblClean[[#This Row],[Date]])</f>
        <v>2024</v>
      </c>
    </row>
    <row r="1478" spans="1:9" x14ac:dyDescent="0.25">
      <c r="A1478" s="7">
        <v>45621</v>
      </c>
      <c r="B1478" s="2" t="s">
        <v>2964</v>
      </c>
      <c r="C1478" s="4" t="str">
        <f>TRIM(CLEAN(PROPER(tblClean[[#This Row],[Transaction Description]])))</f>
        <v>Say Explain.</v>
      </c>
      <c r="D1478" s="2" t="s">
        <v>27</v>
      </c>
      <c r="E1478" s="3" t="str">
        <f>TRIM(CLEAN(PROPER(tblClean[[#This Row],[Category]])))</f>
        <v>Other</v>
      </c>
      <c r="F1478" s="11" t="s">
        <v>2965</v>
      </c>
      <c r="G1478" s="2" t="s">
        <v>18</v>
      </c>
      <c r="H1478" s="15">
        <f>MONTH(tblClean[[#This Row],[Date]])</f>
        <v>11</v>
      </c>
      <c r="I1478" s="15">
        <f>YEAR(tblClean[[#This Row],[Date]])</f>
        <v>2024</v>
      </c>
    </row>
    <row r="1479" spans="1:9" x14ac:dyDescent="0.25">
      <c r="A1479" s="6">
        <v>45621</v>
      </c>
      <c r="B1479" s="1" t="s">
        <v>2966</v>
      </c>
      <c r="C1479" s="3" t="str">
        <f>TRIM(CLEAN(PROPER(tblClean[[#This Row],[Transaction Description]])))</f>
        <v>Red Republican Father Party.</v>
      </c>
      <c r="D1479" s="1" t="s">
        <v>38</v>
      </c>
      <c r="E1479" s="3" t="str">
        <f>TRIM(CLEAN(PROPER(tblClean[[#This Row],[Category]])))</f>
        <v>Salary</v>
      </c>
      <c r="F1479" s="10" t="s">
        <v>2967</v>
      </c>
      <c r="G1479" s="1" t="s">
        <v>8</v>
      </c>
      <c r="H1479" s="15">
        <f>MONTH(tblClean[[#This Row],[Date]])</f>
        <v>11</v>
      </c>
      <c r="I1479" s="15">
        <f>YEAR(tblClean[[#This Row],[Date]])</f>
        <v>2024</v>
      </c>
    </row>
    <row r="1480" spans="1:9" x14ac:dyDescent="0.25">
      <c r="A1480" s="6">
        <v>45621</v>
      </c>
      <c r="B1480" s="1" t="s">
        <v>2962</v>
      </c>
      <c r="C1480" s="3" t="str">
        <f>TRIM(CLEAN(PROPER(tblClean[[#This Row],[Transaction Description]])))</f>
        <v>Space Moment Travel These Least.</v>
      </c>
      <c r="D1480" s="1" t="s">
        <v>10</v>
      </c>
      <c r="E1480" s="3" t="str">
        <f>TRIM(CLEAN(PROPER(tblClean[[#This Row],[Category]])))</f>
        <v>Utilities</v>
      </c>
      <c r="F1480" s="10" t="s">
        <v>2963</v>
      </c>
      <c r="G1480" s="1" t="s">
        <v>8</v>
      </c>
      <c r="H1480" s="15">
        <f>MONTH(tblClean[[#This Row],[Date]])</f>
        <v>11</v>
      </c>
      <c r="I1480" s="15">
        <f>YEAR(tblClean[[#This Row],[Date]])</f>
        <v>2024</v>
      </c>
    </row>
    <row r="1481" spans="1:9" x14ac:dyDescent="0.25">
      <c r="A1481" s="7">
        <v>45622</v>
      </c>
      <c r="B1481" s="2" t="s">
        <v>2968</v>
      </c>
      <c r="C1481" s="4" t="str">
        <f>TRIM(CLEAN(PROPER(tblClean[[#This Row],[Transaction Description]])))</f>
        <v>Eat Tonight Run Leader.</v>
      </c>
      <c r="D1481" s="2" t="s">
        <v>16</v>
      </c>
      <c r="E1481" s="3" t="str">
        <f>TRIM(CLEAN(PROPER(tblClean[[#This Row],[Category]])))</f>
        <v>Investment</v>
      </c>
      <c r="F1481" s="11" t="s">
        <v>2969</v>
      </c>
      <c r="G1481" s="2" t="s">
        <v>18</v>
      </c>
      <c r="H1481" s="15">
        <f>MONTH(tblClean[[#This Row],[Date]])</f>
        <v>11</v>
      </c>
      <c r="I1481" s="15">
        <f>YEAR(tblClean[[#This Row],[Date]])</f>
        <v>2024</v>
      </c>
    </row>
    <row r="1482" spans="1:9" x14ac:dyDescent="0.25">
      <c r="A1482" s="6">
        <v>45625</v>
      </c>
      <c r="B1482" s="1" t="s">
        <v>2970</v>
      </c>
      <c r="C1482" s="3" t="str">
        <f>TRIM(CLEAN(PROPER(tblClean[[#This Row],[Transaction Description]])))</f>
        <v>Believe Recognize Analysis Those Citizen.</v>
      </c>
      <c r="D1482" s="1" t="s">
        <v>16</v>
      </c>
      <c r="E1482" s="3" t="str">
        <f>TRIM(CLEAN(PROPER(tblClean[[#This Row],[Category]])))</f>
        <v>Investment</v>
      </c>
      <c r="F1482" s="10" t="s">
        <v>2971</v>
      </c>
      <c r="G1482" s="1" t="s">
        <v>18</v>
      </c>
      <c r="H1482" s="15">
        <f>MONTH(tblClean[[#This Row],[Date]])</f>
        <v>11</v>
      </c>
      <c r="I1482" s="15">
        <f>YEAR(tblClean[[#This Row],[Date]])</f>
        <v>2024</v>
      </c>
    </row>
    <row r="1483" spans="1:9" x14ac:dyDescent="0.25">
      <c r="A1483" s="7">
        <v>45626</v>
      </c>
      <c r="B1483" s="2" t="s">
        <v>2972</v>
      </c>
      <c r="C1483" s="4" t="str">
        <f>TRIM(CLEAN(PROPER(tblClean[[#This Row],[Transaction Description]])))</f>
        <v>Project At Risk.</v>
      </c>
      <c r="D1483" s="2" t="s">
        <v>38</v>
      </c>
      <c r="E1483" s="3" t="str">
        <f>TRIM(CLEAN(PROPER(tblClean[[#This Row],[Category]])))</f>
        <v>Salary</v>
      </c>
      <c r="F1483" s="11" t="s">
        <v>2973</v>
      </c>
      <c r="G1483" s="2" t="s">
        <v>8</v>
      </c>
      <c r="H1483" s="15">
        <f>MONTH(tblClean[[#This Row],[Date]])</f>
        <v>11</v>
      </c>
      <c r="I1483" s="15">
        <f>YEAR(tblClean[[#This Row],[Date]])</f>
        <v>2024</v>
      </c>
    </row>
    <row r="1484" spans="1:9" x14ac:dyDescent="0.25">
      <c r="A1484" s="6">
        <v>45628</v>
      </c>
      <c r="B1484" s="1" t="s">
        <v>2974</v>
      </c>
      <c r="C1484" s="3" t="str">
        <f>TRIM(CLEAN(PROPER(tblClean[[#This Row],[Transaction Description]])))</f>
        <v>In Seven Building Hard.</v>
      </c>
      <c r="D1484" s="1" t="s">
        <v>10</v>
      </c>
      <c r="E1484" s="3" t="str">
        <f>TRIM(CLEAN(PROPER(tblClean[[#This Row],[Category]])))</f>
        <v>Utilities</v>
      </c>
      <c r="F1484" s="10" t="s">
        <v>2975</v>
      </c>
      <c r="G1484" s="1" t="s">
        <v>8</v>
      </c>
      <c r="H1484" s="15">
        <f>MONTH(tblClean[[#This Row],[Date]])</f>
        <v>12</v>
      </c>
      <c r="I1484" s="15">
        <f>YEAR(tblClean[[#This Row],[Date]])</f>
        <v>2024</v>
      </c>
    </row>
    <row r="1485" spans="1:9" x14ac:dyDescent="0.25">
      <c r="A1485" s="7">
        <v>45631</v>
      </c>
      <c r="B1485" s="2" t="s">
        <v>2976</v>
      </c>
      <c r="C1485" s="4" t="str">
        <f>TRIM(CLEAN(PROPER(tblClean[[#This Row],[Transaction Description]])))</f>
        <v>Short For Late Education.</v>
      </c>
      <c r="D1485" s="2" t="s">
        <v>22</v>
      </c>
      <c r="E1485" s="3" t="str">
        <f>TRIM(CLEAN(PROPER(tblClean[[#This Row],[Category]])))</f>
        <v>Shopping</v>
      </c>
      <c r="F1485" s="11" t="s">
        <v>2977</v>
      </c>
      <c r="G1485" s="2" t="s">
        <v>8</v>
      </c>
      <c r="H1485" s="15">
        <f>MONTH(tblClean[[#This Row],[Date]])</f>
        <v>12</v>
      </c>
      <c r="I1485" s="15">
        <f>YEAR(tblClean[[#This Row],[Date]])</f>
        <v>2024</v>
      </c>
    </row>
    <row r="1486" spans="1:9" x14ac:dyDescent="0.25">
      <c r="A1486" s="6">
        <v>45632</v>
      </c>
      <c r="B1486" s="1" t="s">
        <v>2978</v>
      </c>
      <c r="C1486" s="3" t="str">
        <f>TRIM(CLEAN(PROPER(tblClean[[#This Row],[Transaction Description]])))</f>
        <v>Left Available.</v>
      </c>
      <c r="D1486" s="1" t="s">
        <v>35</v>
      </c>
      <c r="E1486" s="3" t="str">
        <f>TRIM(CLEAN(PROPER(tblClean[[#This Row],[Category]])))</f>
        <v>Health &amp; Fitness</v>
      </c>
      <c r="F1486" s="10" t="s">
        <v>2979</v>
      </c>
      <c r="G1486" s="1" t="s">
        <v>8</v>
      </c>
      <c r="H1486" s="15">
        <f>MONTH(tblClean[[#This Row],[Date]])</f>
        <v>12</v>
      </c>
      <c r="I1486" s="15">
        <f>YEAR(tblClean[[#This Row],[Date]])</f>
        <v>2024</v>
      </c>
    </row>
    <row r="1487" spans="1:9" x14ac:dyDescent="0.25">
      <c r="A1487" s="7">
        <v>45635</v>
      </c>
      <c r="B1487" s="2" t="s">
        <v>2980</v>
      </c>
      <c r="C1487" s="4" t="str">
        <f>TRIM(CLEAN(PROPER(tblClean[[#This Row],[Transaction Description]])))</f>
        <v>Gas Human Create Also.</v>
      </c>
      <c r="D1487" s="2" t="s">
        <v>35</v>
      </c>
      <c r="E1487" s="3" t="str">
        <f>TRIM(CLEAN(PROPER(tblClean[[#This Row],[Category]])))</f>
        <v>Health &amp; Fitness</v>
      </c>
      <c r="F1487" s="11" t="s">
        <v>2981</v>
      </c>
      <c r="G1487" s="2" t="s">
        <v>8</v>
      </c>
      <c r="H1487" s="15">
        <f>MONTH(tblClean[[#This Row],[Date]])</f>
        <v>12</v>
      </c>
      <c r="I1487" s="15">
        <f>YEAR(tblClean[[#This Row],[Date]])</f>
        <v>2024</v>
      </c>
    </row>
    <row r="1488" spans="1:9" x14ac:dyDescent="0.25">
      <c r="A1488" s="6">
        <v>45637</v>
      </c>
      <c r="B1488" s="1" t="s">
        <v>2982</v>
      </c>
      <c r="C1488" s="3" t="str">
        <f>TRIM(CLEAN(PROPER(tblClean[[#This Row],[Transaction Description]])))</f>
        <v>Remember Carry.</v>
      </c>
      <c r="D1488" s="1" t="s">
        <v>10</v>
      </c>
      <c r="E1488" s="3" t="str">
        <f>TRIM(CLEAN(PROPER(tblClean[[#This Row],[Category]])))</f>
        <v>Utilities</v>
      </c>
      <c r="F1488" s="10" t="s">
        <v>2983</v>
      </c>
      <c r="G1488" s="1" t="s">
        <v>8</v>
      </c>
      <c r="H1488" s="15">
        <f>MONTH(tblClean[[#This Row],[Date]])</f>
        <v>12</v>
      </c>
      <c r="I1488" s="15">
        <f>YEAR(tblClean[[#This Row],[Date]])</f>
        <v>2024</v>
      </c>
    </row>
    <row r="1489" spans="1:9" x14ac:dyDescent="0.25">
      <c r="A1489" s="6">
        <v>45638</v>
      </c>
      <c r="B1489" s="1" t="s">
        <v>2986</v>
      </c>
      <c r="C1489" s="3" t="str">
        <f>TRIM(CLEAN(PROPER(tblClean[[#This Row],[Transaction Description]])))</f>
        <v>Likely Evidence Claim.</v>
      </c>
      <c r="D1489" s="1" t="s">
        <v>27</v>
      </c>
      <c r="E1489" s="3" t="str">
        <f>TRIM(CLEAN(PROPER(tblClean[[#This Row],[Category]])))</f>
        <v>Other</v>
      </c>
      <c r="F1489" s="10" t="s">
        <v>2987</v>
      </c>
      <c r="G1489" s="1" t="s">
        <v>18</v>
      </c>
      <c r="H1489" s="15">
        <f>MONTH(tblClean[[#This Row],[Date]])</f>
        <v>12</v>
      </c>
      <c r="I1489" s="15">
        <f>YEAR(tblClean[[#This Row],[Date]])</f>
        <v>2024</v>
      </c>
    </row>
    <row r="1490" spans="1:9" x14ac:dyDescent="0.25">
      <c r="A1490" s="7">
        <v>45638</v>
      </c>
      <c r="B1490" s="2" t="s">
        <v>2984</v>
      </c>
      <c r="C1490" s="4" t="str">
        <f>TRIM(CLEAN(PROPER(tblClean[[#This Row],[Transaction Description]])))</f>
        <v>Leave Bar Prevent Require.</v>
      </c>
      <c r="D1490" s="2" t="s">
        <v>13</v>
      </c>
      <c r="E1490" s="3" t="str">
        <f>TRIM(CLEAN(PROPER(tblClean[[#This Row],[Category]])))</f>
        <v>Rent</v>
      </c>
      <c r="F1490" s="11" t="s">
        <v>2985</v>
      </c>
      <c r="G1490" s="2" t="s">
        <v>8</v>
      </c>
      <c r="H1490" s="15">
        <f>MONTH(tblClean[[#This Row],[Date]])</f>
        <v>12</v>
      </c>
      <c r="I1490" s="15">
        <f>YEAR(tblClean[[#This Row],[Date]])</f>
        <v>2024</v>
      </c>
    </row>
    <row r="1491" spans="1:9" x14ac:dyDescent="0.25">
      <c r="A1491" s="7">
        <v>45641</v>
      </c>
      <c r="B1491" s="2" t="s">
        <v>2988</v>
      </c>
      <c r="C1491" s="4" t="str">
        <f>TRIM(CLEAN(PROPER(tblClean[[#This Row],[Transaction Description]])))</f>
        <v>Beyond Family Movement Hospital Back.</v>
      </c>
      <c r="D1491" s="2" t="s">
        <v>13</v>
      </c>
      <c r="E1491" s="3" t="str">
        <f>TRIM(CLEAN(PROPER(tblClean[[#This Row],[Category]])))</f>
        <v>Rent</v>
      </c>
      <c r="F1491" s="11" t="s">
        <v>2989</v>
      </c>
      <c r="G1491" s="2" t="s">
        <v>8</v>
      </c>
      <c r="H1491" s="15">
        <f>MONTH(tblClean[[#This Row],[Date]])</f>
        <v>12</v>
      </c>
      <c r="I1491" s="15">
        <f>YEAR(tblClean[[#This Row],[Date]])</f>
        <v>2024</v>
      </c>
    </row>
    <row r="1492" spans="1:9" x14ac:dyDescent="0.25">
      <c r="A1492" s="6">
        <v>45642</v>
      </c>
      <c r="B1492" s="1" t="s">
        <v>2990</v>
      </c>
      <c r="C1492" s="3" t="str">
        <f>TRIM(CLEAN(PROPER(tblClean[[#This Row],[Transaction Description]])))</f>
        <v>Child Group Describe.</v>
      </c>
      <c r="D1492" s="1" t="s">
        <v>22</v>
      </c>
      <c r="E1492" s="3" t="str">
        <f>TRIM(CLEAN(PROPER(tblClean[[#This Row],[Category]])))</f>
        <v>Shopping</v>
      </c>
      <c r="F1492" s="10" t="s">
        <v>2991</v>
      </c>
      <c r="G1492" s="1" t="s">
        <v>8</v>
      </c>
      <c r="H1492" s="15">
        <f>MONTH(tblClean[[#This Row],[Date]])</f>
        <v>12</v>
      </c>
      <c r="I1492" s="15">
        <f>YEAR(tblClean[[#This Row],[Date]])</f>
        <v>2024</v>
      </c>
    </row>
    <row r="1493" spans="1:9" x14ac:dyDescent="0.25">
      <c r="A1493" s="7">
        <v>45645</v>
      </c>
      <c r="B1493" s="2" t="s">
        <v>2992</v>
      </c>
      <c r="C1493" s="4" t="str">
        <f>TRIM(CLEAN(PROPER(tblClean[[#This Row],[Transaction Description]])))</f>
        <v>Democratic Recent Student Specific Political.</v>
      </c>
      <c r="D1493" s="2" t="s">
        <v>6</v>
      </c>
      <c r="E1493" s="3" t="str">
        <f>TRIM(CLEAN(PROPER(tblClean[[#This Row],[Category]])))</f>
        <v>Food &amp; Drink</v>
      </c>
      <c r="F1493" s="11" t="s">
        <v>2993</v>
      </c>
      <c r="G1493" s="2" t="s">
        <v>8</v>
      </c>
      <c r="H1493" s="15">
        <f>MONTH(tblClean[[#This Row],[Date]])</f>
        <v>12</v>
      </c>
      <c r="I1493" s="15">
        <f>YEAR(tblClean[[#This Row],[Date]])</f>
        <v>2024</v>
      </c>
    </row>
    <row r="1494" spans="1:9" x14ac:dyDescent="0.25">
      <c r="A1494" s="6">
        <v>45645</v>
      </c>
      <c r="B1494" s="1" t="s">
        <v>2994</v>
      </c>
      <c r="C1494" s="3" t="str">
        <f>TRIM(CLEAN(PROPER(tblClean[[#This Row],[Transaction Description]])))</f>
        <v>Real Know Our Any.</v>
      </c>
      <c r="D1494" s="1" t="s">
        <v>13</v>
      </c>
      <c r="E1494" s="3" t="str">
        <f>TRIM(CLEAN(PROPER(tblClean[[#This Row],[Category]])))</f>
        <v>Rent</v>
      </c>
      <c r="F1494" s="10" t="s">
        <v>2995</v>
      </c>
      <c r="G1494" s="1" t="s">
        <v>8</v>
      </c>
      <c r="H1494" s="15">
        <f>MONTH(tblClean[[#This Row],[Date]])</f>
        <v>12</v>
      </c>
      <c r="I1494" s="15">
        <f>YEAR(tblClean[[#This Row],[Date]])</f>
        <v>2024</v>
      </c>
    </row>
    <row r="1495" spans="1:9" x14ac:dyDescent="0.25">
      <c r="A1495" s="7">
        <v>45647</v>
      </c>
      <c r="B1495" s="2" t="s">
        <v>2996</v>
      </c>
      <c r="C1495" s="4" t="str">
        <f>TRIM(CLEAN(PROPER(tblClean[[#This Row],[Transaction Description]])))</f>
        <v>Up Hear Draw.</v>
      </c>
      <c r="D1495" s="2" t="s">
        <v>38</v>
      </c>
      <c r="E1495" s="3" t="str">
        <f>TRIM(CLEAN(PROPER(tblClean[[#This Row],[Category]])))</f>
        <v>Salary</v>
      </c>
      <c r="F1495" s="11" t="s">
        <v>2997</v>
      </c>
      <c r="G1495" s="2" t="s">
        <v>8</v>
      </c>
      <c r="H1495" s="15">
        <f>MONTH(tblClean[[#This Row],[Date]])</f>
        <v>12</v>
      </c>
      <c r="I1495" s="15">
        <f>YEAR(tblClean[[#This Row],[Date]])</f>
        <v>2024</v>
      </c>
    </row>
    <row r="1496" spans="1:9" x14ac:dyDescent="0.25">
      <c r="A1496" s="6">
        <v>45649</v>
      </c>
      <c r="B1496" s="1" t="s">
        <v>2998</v>
      </c>
      <c r="C1496" s="3" t="str">
        <f>TRIM(CLEAN(PROPER(tblClean[[#This Row],[Transaction Description]])))</f>
        <v>Instead Writer.</v>
      </c>
      <c r="D1496" s="1" t="s">
        <v>35</v>
      </c>
      <c r="E1496" s="3" t="str">
        <f>TRIM(CLEAN(PROPER(tblClean[[#This Row],[Category]])))</f>
        <v>Health &amp; Fitness</v>
      </c>
      <c r="F1496" s="10" t="s">
        <v>2999</v>
      </c>
      <c r="G1496" s="1" t="s">
        <v>8</v>
      </c>
      <c r="H1496" s="15">
        <f>MONTH(tblClean[[#This Row],[Date]])</f>
        <v>12</v>
      </c>
      <c r="I1496" s="15">
        <f>YEAR(tblClean[[#This Row],[Date]])</f>
        <v>2024</v>
      </c>
    </row>
    <row r="1497" spans="1:9" x14ac:dyDescent="0.25">
      <c r="A1497" s="6">
        <v>45654</v>
      </c>
      <c r="B1497" s="1" t="s">
        <v>3001</v>
      </c>
      <c r="C1497" s="3" t="str">
        <f>TRIM(CLEAN(PROPER(tblClean[[#This Row],[Transaction Description]])))</f>
        <v>Right Analysis Mention.</v>
      </c>
      <c r="D1497" s="1" t="s">
        <v>30</v>
      </c>
      <c r="E1497" s="3" t="str">
        <f>TRIM(CLEAN(PROPER(tblClean[[#This Row],[Category]])))</f>
        <v>Entertainment</v>
      </c>
      <c r="F1497" s="10" t="s">
        <v>3002</v>
      </c>
      <c r="G1497" s="1" t="s">
        <v>8</v>
      </c>
      <c r="H1497" s="15">
        <f>MONTH(tblClean[[#This Row],[Date]])</f>
        <v>12</v>
      </c>
      <c r="I1497" s="15">
        <f>YEAR(tblClean[[#This Row],[Date]])</f>
        <v>2024</v>
      </c>
    </row>
    <row r="1498" spans="1:9" x14ac:dyDescent="0.25">
      <c r="A1498" s="7">
        <v>45654</v>
      </c>
      <c r="B1498" s="2" t="s">
        <v>3003</v>
      </c>
      <c r="C1498" s="4" t="str">
        <f>TRIM(CLEAN(PROPER(tblClean[[#This Row],[Transaction Description]])))</f>
        <v>No Couple Debate Must.</v>
      </c>
      <c r="D1498" s="2" t="s">
        <v>16</v>
      </c>
      <c r="E1498" s="3" t="str">
        <f>TRIM(CLEAN(PROPER(tblClean[[#This Row],[Category]])))</f>
        <v>Investment</v>
      </c>
      <c r="F1498" s="11" t="s">
        <v>3004</v>
      </c>
      <c r="G1498" s="2" t="s">
        <v>18</v>
      </c>
      <c r="H1498" s="15">
        <f>MONTH(tblClean[[#This Row],[Date]])</f>
        <v>12</v>
      </c>
      <c r="I1498" s="15">
        <f>YEAR(tblClean[[#This Row],[Date]])</f>
        <v>2024</v>
      </c>
    </row>
    <row r="1499" spans="1:9" x14ac:dyDescent="0.25">
      <c r="A1499" s="7">
        <v>45654</v>
      </c>
      <c r="B1499" s="2" t="s">
        <v>3000</v>
      </c>
      <c r="C1499" s="4" t="str">
        <f>TRIM(CLEAN(PROPER(tblClean[[#This Row],[Transaction Description]])))</f>
        <v>Quite As When.</v>
      </c>
      <c r="D1499" s="2" t="s">
        <v>13</v>
      </c>
      <c r="E1499" s="3" t="str">
        <f>TRIM(CLEAN(PROPER(tblClean[[#This Row],[Category]])))</f>
        <v>Rent</v>
      </c>
      <c r="F1499" s="11" t="s">
        <v>994</v>
      </c>
      <c r="G1499" s="2" t="s">
        <v>8</v>
      </c>
      <c r="H1499" s="15">
        <f>MONTH(tblClean[[#This Row],[Date]])</f>
        <v>12</v>
      </c>
      <c r="I1499" s="15">
        <f>YEAR(tblClean[[#This Row],[Date]])</f>
        <v>2024</v>
      </c>
    </row>
    <row r="1500" spans="1:9" x14ac:dyDescent="0.25">
      <c r="A1500" s="7">
        <v>45655</v>
      </c>
      <c r="B1500" s="2" t="s">
        <v>3007</v>
      </c>
      <c r="C1500" s="4" t="str">
        <f>TRIM(CLEAN(PROPER(tblClean[[#This Row],[Transaction Description]])))</f>
        <v>Pressure Activity Defense Detail.</v>
      </c>
      <c r="D1500" s="2" t="s">
        <v>27</v>
      </c>
      <c r="E1500" s="3" t="str">
        <f>TRIM(CLEAN(PROPER(tblClean[[#This Row],[Category]])))</f>
        <v>Other</v>
      </c>
      <c r="F1500" s="11" t="s">
        <v>3008</v>
      </c>
      <c r="G1500" s="2" t="s">
        <v>18</v>
      </c>
      <c r="H1500" s="15">
        <f>MONTH(tblClean[[#This Row],[Date]])</f>
        <v>12</v>
      </c>
      <c r="I1500" s="15">
        <f>YEAR(tblClean[[#This Row],[Date]])</f>
        <v>2024</v>
      </c>
    </row>
    <row r="1501" spans="1:9" x14ac:dyDescent="0.25">
      <c r="A1501" s="12">
        <v>45655</v>
      </c>
      <c r="B1501" s="13" t="s">
        <v>3005</v>
      </c>
      <c r="C1501" s="9" t="str">
        <f>TRIM(CLEAN(PROPER(tblClean[[#This Row],[Transaction Description]])))</f>
        <v>Discussion Black Follow.</v>
      </c>
      <c r="D1501" s="13" t="s">
        <v>22</v>
      </c>
      <c r="E1501" s="9" t="str">
        <f>TRIM(CLEAN(PROPER(tblClean[[#This Row],[Category]])))</f>
        <v>Shopping</v>
      </c>
      <c r="F1501" s="14" t="s">
        <v>3006</v>
      </c>
      <c r="G1501" s="13" t="s">
        <v>8</v>
      </c>
      <c r="H1501" s="15">
        <f>MONTH(tblClean[[#This Row],[Date]])</f>
        <v>12</v>
      </c>
      <c r="I1501" s="15">
        <f>YEAR(tblClean[[#This Row],[Date]])</f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DDFD-1557-4B88-AFB8-FEF93BB22F72}">
  <dimension ref="A3:D15"/>
  <sheetViews>
    <sheetView workbookViewId="0">
      <selection activeCell="E12" sqref="E12"/>
    </sheetView>
  </sheetViews>
  <sheetFormatPr baseColWidth="10" defaultRowHeight="15" x14ac:dyDescent="0.25"/>
  <cols>
    <col min="1" max="1" width="29.85546875" bestFit="1" customWidth="1"/>
    <col min="2" max="2" width="22.85546875" bestFit="1" customWidth="1"/>
    <col min="3" max="3" width="7.7109375" bestFit="1" customWidth="1"/>
    <col min="4" max="4" width="12.5703125" bestFit="1" customWidth="1"/>
  </cols>
  <sheetData>
    <row r="3" spans="1:4" x14ac:dyDescent="0.25">
      <c r="A3" s="16" t="s">
        <v>3018</v>
      </c>
      <c r="B3" s="20" t="s">
        <v>3015</v>
      </c>
      <c r="C3" s="18"/>
      <c r="D3" s="18"/>
    </row>
    <row r="4" spans="1:4" x14ac:dyDescent="0.25">
      <c r="A4" s="16" t="s">
        <v>3013</v>
      </c>
      <c r="B4" s="17" t="s">
        <v>8</v>
      </c>
      <c r="C4" s="17" t="s">
        <v>18</v>
      </c>
      <c r="D4" s="17" t="s">
        <v>3014</v>
      </c>
    </row>
    <row r="5" spans="1:4" x14ac:dyDescent="0.25">
      <c r="A5" s="18" t="s">
        <v>30</v>
      </c>
      <c r="B5" s="19">
        <v>143</v>
      </c>
      <c r="C5" s="19"/>
      <c r="D5" s="19">
        <v>143</v>
      </c>
    </row>
    <row r="6" spans="1:4" x14ac:dyDescent="0.25">
      <c r="A6" s="18" t="s">
        <v>6</v>
      </c>
      <c r="B6" s="19">
        <v>149</v>
      </c>
      <c r="C6" s="19"/>
      <c r="D6" s="19">
        <v>149</v>
      </c>
    </row>
    <row r="7" spans="1:4" x14ac:dyDescent="0.25">
      <c r="A7" s="18" t="s">
        <v>35</v>
      </c>
      <c r="B7" s="19">
        <v>152</v>
      </c>
      <c r="C7" s="19"/>
      <c r="D7" s="19">
        <v>152</v>
      </c>
    </row>
    <row r="8" spans="1:4" x14ac:dyDescent="0.25">
      <c r="A8" s="18" t="s">
        <v>16</v>
      </c>
      <c r="B8" s="19"/>
      <c r="C8" s="19">
        <v>142</v>
      </c>
      <c r="D8" s="19">
        <v>142</v>
      </c>
    </row>
    <row r="9" spans="1:4" x14ac:dyDescent="0.25">
      <c r="A9" s="18" t="s">
        <v>27</v>
      </c>
      <c r="B9" s="19"/>
      <c r="C9" s="19">
        <v>136</v>
      </c>
      <c r="D9" s="19">
        <v>136</v>
      </c>
    </row>
    <row r="10" spans="1:4" x14ac:dyDescent="0.25">
      <c r="A10" s="18" t="s">
        <v>13</v>
      </c>
      <c r="B10" s="19">
        <v>165</v>
      </c>
      <c r="C10" s="19"/>
      <c r="D10" s="19">
        <v>165</v>
      </c>
    </row>
    <row r="11" spans="1:4" x14ac:dyDescent="0.25">
      <c r="A11" s="18" t="s">
        <v>38</v>
      </c>
      <c r="B11" s="19">
        <v>146</v>
      </c>
      <c r="C11" s="19"/>
      <c r="D11" s="19">
        <v>146</v>
      </c>
    </row>
    <row r="12" spans="1:4" x14ac:dyDescent="0.25">
      <c r="A12" s="18" t="s">
        <v>22</v>
      </c>
      <c r="B12" s="19">
        <v>150</v>
      </c>
      <c r="C12" s="19"/>
      <c r="D12" s="19">
        <v>150</v>
      </c>
    </row>
    <row r="13" spans="1:4" x14ac:dyDescent="0.25">
      <c r="A13" s="18" t="s">
        <v>53</v>
      </c>
      <c r="B13" s="19">
        <v>160</v>
      </c>
      <c r="C13" s="19"/>
      <c r="D13" s="19">
        <v>160</v>
      </c>
    </row>
    <row r="14" spans="1:4" x14ac:dyDescent="0.25">
      <c r="A14" s="18" t="s">
        <v>10</v>
      </c>
      <c r="B14" s="19">
        <v>157</v>
      </c>
      <c r="C14" s="19"/>
      <c r="D14" s="19">
        <v>157</v>
      </c>
    </row>
    <row r="15" spans="1:4" x14ac:dyDescent="0.25">
      <c r="A15" s="18" t="s">
        <v>3014</v>
      </c>
      <c r="B15" s="19">
        <v>1222</v>
      </c>
      <c r="C15" s="19">
        <v>278</v>
      </c>
      <c r="D15" s="19">
        <v>1500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6684-3356-46D0-94CD-4F710D6A290E}">
  <dimension ref="A1:D17"/>
  <sheetViews>
    <sheetView workbookViewId="0">
      <selection activeCell="A4" sqref="A4"/>
    </sheetView>
  </sheetViews>
  <sheetFormatPr baseColWidth="10" defaultRowHeight="15" x14ac:dyDescent="0.25"/>
  <cols>
    <col min="1" max="1" width="17.85546875" bestFit="1" customWidth="1"/>
    <col min="2" max="2" width="22.85546875" bestFit="1" customWidth="1"/>
    <col min="3" max="3" width="7.7109375" bestFit="1" customWidth="1"/>
    <col min="4" max="4" width="12.5703125" bestFit="1" customWidth="1"/>
  </cols>
  <sheetData>
    <row r="1" spans="1:4" x14ac:dyDescent="0.25">
      <c r="A1" s="16" t="s">
        <v>3012</v>
      </c>
      <c r="B1" s="17" t="s">
        <v>3016</v>
      </c>
    </row>
    <row r="3" spans="1:4" x14ac:dyDescent="0.25">
      <c r="A3" s="16" t="s">
        <v>3017</v>
      </c>
      <c r="B3" s="16" t="s">
        <v>3015</v>
      </c>
      <c r="C3" s="17"/>
      <c r="D3" s="17"/>
    </row>
    <row r="4" spans="1:4" x14ac:dyDescent="0.25">
      <c r="A4" s="16" t="s">
        <v>3013</v>
      </c>
      <c r="B4" s="17" t="s">
        <v>8</v>
      </c>
      <c r="C4" s="17" t="s">
        <v>18</v>
      </c>
      <c r="D4" s="17" t="s">
        <v>3014</v>
      </c>
    </row>
    <row r="5" spans="1:4" x14ac:dyDescent="0.25">
      <c r="A5" s="18">
        <v>1</v>
      </c>
      <c r="B5" s="19">
        <v>109</v>
      </c>
      <c r="C5" s="19">
        <v>29</v>
      </c>
      <c r="D5" s="19">
        <v>138</v>
      </c>
    </row>
    <row r="6" spans="1:4" x14ac:dyDescent="0.25">
      <c r="A6" s="18">
        <v>2</v>
      </c>
      <c r="B6" s="19">
        <v>89</v>
      </c>
      <c r="C6" s="19">
        <v>26</v>
      </c>
      <c r="D6" s="19">
        <v>115</v>
      </c>
    </row>
    <row r="7" spans="1:4" x14ac:dyDescent="0.25">
      <c r="A7" s="18">
        <v>3</v>
      </c>
      <c r="B7" s="19">
        <v>104</v>
      </c>
      <c r="C7" s="19">
        <v>33</v>
      </c>
      <c r="D7" s="19">
        <v>137</v>
      </c>
    </row>
    <row r="8" spans="1:4" x14ac:dyDescent="0.25">
      <c r="A8" s="18">
        <v>4</v>
      </c>
      <c r="B8" s="19">
        <v>88</v>
      </c>
      <c r="C8" s="19">
        <v>22</v>
      </c>
      <c r="D8" s="19">
        <v>110</v>
      </c>
    </row>
    <row r="9" spans="1:4" x14ac:dyDescent="0.25">
      <c r="A9" s="18">
        <v>5</v>
      </c>
      <c r="B9" s="19">
        <v>112</v>
      </c>
      <c r="C9" s="19">
        <v>19</v>
      </c>
      <c r="D9" s="19">
        <v>131</v>
      </c>
    </row>
    <row r="10" spans="1:4" x14ac:dyDescent="0.25">
      <c r="A10" s="18">
        <v>6</v>
      </c>
      <c r="B10" s="19">
        <v>108</v>
      </c>
      <c r="C10" s="19">
        <v>20</v>
      </c>
      <c r="D10" s="19">
        <v>128</v>
      </c>
    </row>
    <row r="11" spans="1:4" x14ac:dyDescent="0.25">
      <c r="A11" s="18">
        <v>7</v>
      </c>
      <c r="B11" s="19">
        <v>113</v>
      </c>
      <c r="C11" s="19">
        <v>22</v>
      </c>
      <c r="D11" s="19">
        <v>135</v>
      </c>
    </row>
    <row r="12" spans="1:4" x14ac:dyDescent="0.25">
      <c r="A12" s="18">
        <v>8</v>
      </c>
      <c r="B12" s="19">
        <v>104</v>
      </c>
      <c r="C12" s="19">
        <v>21</v>
      </c>
      <c r="D12" s="19">
        <v>125</v>
      </c>
    </row>
    <row r="13" spans="1:4" x14ac:dyDescent="0.25">
      <c r="A13" s="18">
        <v>9</v>
      </c>
      <c r="B13" s="19">
        <v>107</v>
      </c>
      <c r="C13" s="19">
        <v>22</v>
      </c>
      <c r="D13" s="19">
        <v>129</v>
      </c>
    </row>
    <row r="14" spans="1:4" x14ac:dyDescent="0.25">
      <c r="A14" s="18">
        <v>10</v>
      </c>
      <c r="B14" s="19">
        <v>91</v>
      </c>
      <c r="C14" s="19">
        <v>24</v>
      </c>
      <c r="D14" s="19">
        <v>115</v>
      </c>
    </row>
    <row r="15" spans="1:4" x14ac:dyDescent="0.25">
      <c r="A15" s="18">
        <v>11</v>
      </c>
      <c r="B15" s="19">
        <v>110</v>
      </c>
      <c r="C15" s="19">
        <v>23</v>
      </c>
      <c r="D15" s="19">
        <v>133</v>
      </c>
    </row>
    <row r="16" spans="1:4" x14ac:dyDescent="0.25">
      <c r="A16" s="18">
        <v>12</v>
      </c>
      <c r="B16" s="19">
        <v>87</v>
      </c>
      <c r="C16" s="19">
        <v>17</v>
      </c>
      <c r="D16" s="19">
        <v>104</v>
      </c>
    </row>
    <row r="17" spans="1:4" x14ac:dyDescent="0.25">
      <c r="A17" s="18" t="s">
        <v>3014</v>
      </c>
      <c r="B17" s="19">
        <v>1222</v>
      </c>
      <c r="C17" s="19">
        <v>278</v>
      </c>
      <c r="D17" s="19">
        <v>1500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A405-D9D8-4B2B-91BC-80A40930FCFE}">
  <dimension ref="B1:O20"/>
  <sheetViews>
    <sheetView showGridLines="0" showRowColHeaders="0" tabSelected="1" workbookViewId="0">
      <selection activeCell="F2" sqref="F2:I2"/>
    </sheetView>
  </sheetViews>
  <sheetFormatPr baseColWidth="10" defaultRowHeight="15" x14ac:dyDescent="0.25"/>
  <sheetData>
    <row r="1" spans="2:15" ht="31.5" x14ac:dyDescent="0.5">
      <c r="B1" s="21"/>
      <c r="C1" s="21"/>
      <c r="D1" s="21"/>
      <c r="F1" s="25" t="s">
        <v>3019</v>
      </c>
      <c r="G1" s="26"/>
      <c r="H1" s="26"/>
      <c r="I1" s="26"/>
    </row>
    <row r="2" spans="2:15" x14ac:dyDescent="0.25">
      <c r="F2" s="27" t="s">
        <v>3020</v>
      </c>
      <c r="G2" s="27"/>
      <c r="H2" s="27"/>
      <c r="I2" s="27"/>
    </row>
    <row r="4" spans="2:15" x14ac:dyDescent="0.25">
      <c r="C4" s="22" t="s">
        <v>3021</v>
      </c>
      <c r="D4" s="22"/>
      <c r="E4" s="22"/>
      <c r="F4" s="22"/>
      <c r="G4" s="22"/>
      <c r="H4" s="22"/>
      <c r="J4" s="23" t="s">
        <v>3022</v>
      </c>
      <c r="K4" s="23"/>
      <c r="L4" s="23"/>
      <c r="M4" s="23"/>
      <c r="N4" s="23"/>
      <c r="O4" s="23"/>
    </row>
    <row r="5" spans="2:15" x14ac:dyDescent="0.25">
      <c r="J5" s="24"/>
      <c r="K5" s="24"/>
      <c r="L5" s="24"/>
      <c r="M5" s="24"/>
      <c r="N5" s="24"/>
      <c r="O5" s="24"/>
    </row>
    <row r="20" spans="3:3" x14ac:dyDescent="0.25">
      <c r="C20" t="s">
        <v>3023</v>
      </c>
    </row>
  </sheetData>
  <mergeCells count="2">
    <mergeCell ref="F2:I2"/>
    <mergeCell ref="J4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Clean Data</vt:lpstr>
      <vt:lpstr>Pivot_Categories</vt:lpstr>
      <vt:lpstr>Pivot_Monthly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Vila</dc:creator>
  <cp:lastModifiedBy>Lucas Vila</cp:lastModifiedBy>
  <dcterms:created xsi:type="dcterms:W3CDTF">2025-11-19T22:25:37Z</dcterms:created>
  <dcterms:modified xsi:type="dcterms:W3CDTF">2025-11-19T23:30:38Z</dcterms:modified>
</cp:coreProperties>
</file>